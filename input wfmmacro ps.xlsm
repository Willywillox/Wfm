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d.docs.live.net/c54fc691ce3c675f/Desktop/new wfm/"/>
    </mc:Choice>
  </mc:AlternateContent>
  <xr:revisionPtr revIDLastSave="61572" documentId="13_ncr:1_{C5E63AC4-88DC-4640-ADF8-1356214CCB69}" xr6:coauthVersionLast="47" xr6:coauthVersionMax="47" xr10:uidLastSave="{60E84AB4-61DB-4F9E-940E-C523B9F48E61}"/>
  <bookViews>
    <workbookView xWindow="-98" yWindow="-98" windowWidth="21795" windowHeight="12975" xr2:uid="{00000000-000D-0000-FFFF-FFFF00000000}"/>
  </bookViews>
  <sheets>
    <sheet name="Requisiti" sheetId="132" r:id="rId1"/>
    <sheet name="Turni" sheetId="1" r:id="rId2"/>
    <sheet name="Risorse" sheetId="3" r:id="rId3"/>
    <sheet name="storico" sheetId="566" r:id="rId4"/>
    <sheet name="settimana" sheetId="530" r:id="rId5"/>
    <sheet name="config" sheetId="76" state="hidden" r:id="rId6"/>
    <sheet name="Foglio12" sheetId="128" state="hidden" r:id="rId7"/>
  </sheets>
  <externalReferences>
    <externalReference r:id="rId8"/>
  </externalReferences>
  <definedNames>
    <definedName name="_xlnm._FilterDatabase" localSheetId="2" hidden="1">Risorse!$A$1:$K$64</definedName>
    <definedName name="_xlnm._FilterDatabase" localSheetId="4" hidden="1">settimana!$A$1:$H$64</definedName>
    <definedName name="solver_adj" localSheetId="0" hidden="1">Requisiti!$B$2:$B$89</definedName>
    <definedName name="solver_eng" localSheetId="0" hidden="1">1</definedName>
    <definedName name="solver_lhs1" localSheetId="0" hidden="1">Requisiti!$B$91</definedName>
    <definedName name="solver_lhs10" localSheetId="0" hidden="1">Requisiti!$B$100</definedName>
    <definedName name="solver_lhs11" localSheetId="0" hidden="1">Requisiti!$B$101</definedName>
    <definedName name="solver_lhs12" localSheetId="0" hidden="1">Requisiti!$B$102</definedName>
    <definedName name="solver_lhs13" localSheetId="0" hidden="1">Requisiti!$B$103</definedName>
    <definedName name="solver_lhs14" localSheetId="0" hidden="1">Requisiti!$B$104</definedName>
    <definedName name="solver_lhs15" localSheetId="0" hidden="1">Requisiti!$B$105</definedName>
    <definedName name="solver_lhs16" localSheetId="0" hidden="1">Requisiti!$B$106</definedName>
    <definedName name="solver_lhs17" localSheetId="0" hidden="1">Requisiti!$B$107</definedName>
    <definedName name="solver_lhs18" localSheetId="0" hidden="1">Requisiti!$B$108</definedName>
    <definedName name="solver_lhs19" localSheetId="0" hidden="1">Requisiti!$B$109</definedName>
    <definedName name="solver_lhs2" localSheetId="0" hidden="1">Requisiti!$B$92</definedName>
    <definedName name="solver_lhs20" localSheetId="0" hidden="1">Requisiti!$B$110</definedName>
    <definedName name="solver_lhs21" localSheetId="0" hidden="1">Requisiti!$B$111</definedName>
    <definedName name="solver_lhs22" localSheetId="0" hidden="1">Requisiti!$B$112</definedName>
    <definedName name="solver_lhs23" localSheetId="0" hidden="1">Requisiti!$B$113</definedName>
    <definedName name="solver_lhs24" localSheetId="0" hidden="1">Requisiti!$B$114</definedName>
    <definedName name="solver_lhs25" localSheetId="0" hidden="1">Requisiti!$B$115</definedName>
    <definedName name="solver_lhs26" localSheetId="0" hidden="1">Requisiti!$B$116</definedName>
    <definedName name="solver_lhs27" localSheetId="0" hidden="1">Requisiti!$B$117</definedName>
    <definedName name="solver_lhs28" localSheetId="0" hidden="1">Requisiti!$B$118</definedName>
    <definedName name="solver_lhs29" localSheetId="0" hidden="1">Requisiti!$B$119</definedName>
    <definedName name="solver_lhs3" localSheetId="0" hidden="1">Requisiti!$B$93</definedName>
    <definedName name="solver_lhs30" localSheetId="0" hidden="1">Requisiti!$B$120</definedName>
    <definedName name="solver_lhs31" localSheetId="0" hidden="1">Requisiti!$B$121</definedName>
    <definedName name="solver_lhs32" localSheetId="0" hidden="1">Requisiti!$B$122</definedName>
    <definedName name="solver_lhs33" localSheetId="0" hidden="1">Requisiti!$B$123</definedName>
    <definedName name="solver_lhs34" localSheetId="0" hidden="1">Requisiti!$B$124</definedName>
    <definedName name="solver_lhs35" localSheetId="0" hidden="1">Requisiti!$B$125</definedName>
    <definedName name="solver_lhs36" localSheetId="0" hidden="1">Requisiti!$B$126</definedName>
    <definedName name="solver_lhs37" localSheetId="0" hidden="1">Requisiti!$B$127</definedName>
    <definedName name="solver_lhs38" localSheetId="0" hidden="1">Requisiti!$B$128</definedName>
    <definedName name="solver_lhs39" localSheetId="0" hidden="1">Requisiti!$B$129</definedName>
    <definedName name="solver_lhs4" localSheetId="0" hidden="1">Requisiti!$B$94</definedName>
    <definedName name="solver_lhs40" localSheetId="0" hidden="1">Requisiti!$B$130</definedName>
    <definedName name="solver_lhs41" localSheetId="0" hidden="1">Requisiti!$B$131</definedName>
    <definedName name="solver_lhs42" localSheetId="0" hidden="1">Requisiti!$B$132</definedName>
    <definedName name="solver_lhs43" localSheetId="0" hidden="1">Requisiti!$B$133</definedName>
    <definedName name="solver_lhs44" localSheetId="0" hidden="1">Requisiti!$B$134</definedName>
    <definedName name="solver_lhs45" localSheetId="0" hidden="1">Requisiti!$B$135</definedName>
    <definedName name="solver_lhs46" localSheetId="0" hidden="1">Requisiti!$B$136</definedName>
    <definedName name="solver_lhs47" localSheetId="0" hidden="1">Requisiti!$B$137</definedName>
    <definedName name="solver_lhs48" localSheetId="0" hidden="1">Requisiti!$B$138</definedName>
    <definedName name="solver_lhs49" localSheetId="0" hidden="1">Requisiti!$B$2:$B$89</definedName>
    <definedName name="solver_lhs5" localSheetId="0" hidden="1">Requisiti!$B$95</definedName>
    <definedName name="solver_lhs6" localSheetId="0" hidden="1">Requisiti!$B$96</definedName>
    <definedName name="solver_lhs7" localSheetId="0" hidden="1">Requisiti!$B$97</definedName>
    <definedName name="solver_lhs8" localSheetId="0" hidden="1">Requisiti!$B$98</definedName>
    <definedName name="solver_lhs9" localSheetId="0" hidden="1">Requisiti!$B$99</definedName>
    <definedName name="solver_lin" localSheetId="0" hidden="1">1</definedName>
    <definedName name="solver_neg" localSheetId="0" hidden="1">1</definedName>
    <definedName name="solver_num" localSheetId="0" hidden="1">49</definedName>
    <definedName name="solver_opt" localSheetId="0" hidden="1">Requisiti!$D$90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0" hidden="1">3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3</definedName>
    <definedName name="solver_rel29" localSheetId="0" hidden="1">3</definedName>
    <definedName name="solver_rel3" localSheetId="0" hidden="1">3</definedName>
    <definedName name="solver_rel30" localSheetId="0" hidden="1">3</definedName>
    <definedName name="solver_rel31" localSheetId="0" hidden="1">3</definedName>
    <definedName name="solver_rel32" localSheetId="0" hidden="1">3</definedName>
    <definedName name="solver_rel33" localSheetId="0" hidden="1">3</definedName>
    <definedName name="solver_rel34" localSheetId="0" hidden="1">3</definedName>
    <definedName name="solver_rel35" localSheetId="0" hidden="1">3</definedName>
    <definedName name="solver_rel36" localSheetId="0" hidden="1">3</definedName>
    <definedName name="solver_rel37" localSheetId="0" hidden="1">3</definedName>
    <definedName name="solver_rel38" localSheetId="0" hidden="1">3</definedName>
    <definedName name="solver_rel39" localSheetId="0" hidden="1">3</definedName>
    <definedName name="solver_rel4" localSheetId="0" hidden="1">3</definedName>
    <definedName name="solver_rel40" localSheetId="0" hidden="1">3</definedName>
    <definedName name="solver_rel41" localSheetId="0" hidden="1">3</definedName>
    <definedName name="solver_rel42" localSheetId="0" hidden="1">3</definedName>
    <definedName name="solver_rel43" localSheetId="0" hidden="1">3</definedName>
    <definedName name="solver_rel44" localSheetId="0" hidden="1">3</definedName>
    <definedName name="solver_rel45" localSheetId="0" hidden="1">3</definedName>
    <definedName name="solver_rel46" localSheetId="0" hidden="1">3</definedName>
    <definedName name="solver_rel47" localSheetId="0" hidden="1">3</definedName>
    <definedName name="solver_rel48" localSheetId="0" hidden="1">3</definedName>
    <definedName name="solver_rel49" localSheetId="0" hidden="1">4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Requisiti!$C$91</definedName>
    <definedName name="solver_rhs10" localSheetId="0" hidden="1">Requisiti!$C$100</definedName>
    <definedName name="solver_rhs11" localSheetId="0" hidden="1">Requisiti!$C$101</definedName>
    <definedName name="solver_rhs12" localSheetId="0" hidden="1">Requisiti!$C$102</definedName>
    <definedName name="solver_rhs13" localSheetId="0" hidden="1">Requisiti!$C$103</definedName>
    <definedName name="solver_rhs14" localSheetId="0" hidden="1">Requisiti!$C$104</definedName>
    <definedName name="solver_rhs15" localSheetId="0" hidden="1">Requisiti!$C$105</definedName>
    <definedName name="solver_rhs16" localSheetId="0" hidden="1">Requisiti!$C$106</definedName>
    <definedName name="solver_rhs17" localSheetId="0" hidden="1">Requisiti!$C$107</definedName>
    <definedName name="solver_rhs18" localSheetId="0" hidden="1">Requisiti!$C$108</definedName>
    <definedName name="solver_rhs19" localSheetId="0" hidden="1">Requisiti!$C$109</definedName>
    <definedName name="solver_rhs2" localSheetId="0" hidden="1">Requisiti!$C$92</definedName>
    <definedName name="solver_rhs20" localSheetId="0" hidden="1">Requisiti!$C$110</definedName>
    <definedName name="solver_rhs21" localSheetId="0" hidden="1">Requisiti!$C$111</definedName>
    <definedName name="solver_rhs22" localSheetId="0" hidden="1">Requisiti!$C$112</definedName>
    <definedName name="solver_rhs23" localSheetId="0" hidden="1">Requisiti!$C$113</definedName>
    <definedName name="solver_rhs24" localSheetId="0" hidden="1">Requisiti!$C$114</definedName>
    <definedName name="solver_rhs25" localSheetId="0" hidden="1">Requisiti!$C$115</definedName>
    <definedName name="solver_rhs26" localSheetId="0" hidden="1">Requisiti!$C$116</definedName>
    <definedName name="solver_rhs27" localSheetId="0" hidden="1">Requisiti!$C$117</definedName>
    <definedName name="solver_rhs28" localSheetId="0" hidden="1">Requisiti!$C$118</definedName>
    <definedName name="solver_rhs29" localSheetId="0" hidden="1">Requisiti!$C$119</definedName>
    <definedName name="solver_rhs3" localSheetId="0" hidden="1">Requisiti!$C$93</definedName>
    <definedName name="solver_rhs30" localSheetId="0" hidden="1">Requisiti!$C$120</definedName>
    <definedName name="solver_rhs31" localSheetId="0" hidden="1">Requisiti!$C$121</definedName>
    <definedName name="solver_rhs32" localSheetId="0" hidden="1">Requisiti!$C$122</definedName>
    <definedName name="solver_rhs33" localSheetId="0" hidden="1">Requisiti!$C$123</definedName>
    <definedName name="solver_rhs34" localSheetId="0" hidden="1">Requisiti!$C$124</definedName>
    <definedName name="solver_rhs35" localSheetId="0" hidden="1">Requisiti!$C$125</definedName>
    <definedName name="solver_rhs36" localSheetId="0" hidden="1">Requisiti!$C$126</definedName>
    <definedName name="solver_rhs37" localSheetId="0" hidden="1">Requisiti!$C$127</definedName>
    <definedName name="solver_rhs38" localSheetId="0" hidden="1">Requisiti!$C$128</definedName>
    <definedName name="solver_rhs39" localSheetId="0" hidden="1">Requisiti!$C$129</definedName>
    <definedName name="solver_rhs4" localSheetId="0" hidden="1">Requisiti!$C$94</definedName>
    <definedName name="solver_rhs40" localSheetId="0" hidden="1">Requisiti!$C$130</definedName>
    <definedName name="solver_rhs41" localSheetId="0" hidden="1">Requisiti!$C$131</definedName>
    <definedName name="solver_rhs42" localSheetId="0" hidden="1">Requisiti!$C$132</definedName>
    <definedName name="solver_rhs43" localSheetId="0" hidden="1">Requisiti!$C$133</definedName>
    <definedName name="solver_rhs44" localSheetId="0" hidden="1">Requisiti!$C$134</definedName>
    <definedName name="solver_rhs45" localSheetId="0" hidden="1">Requisiti!$C$135</definedName>
    <definedName name="solver_rhs46" localSheetId="0" hidden="1">Requisiti!$C$136</definedName>
    <definedName name="solver_rhs47" localSheetId="0" hidden="1">Requisiti!$C$137</definedName>
    <definedName name="solver_rhs48" localSheetId="0" hidden="1">Requisiti!$C$138</definedName>
    <definedName name="solver_rhs49" localSheetId="0" hidden="1">"intero"</definedName>
    <definedName name="solver_rhs5" localSheetId="0" hidden="1">Requisiti!$C$95</definedName>
    <definedName name="solver_rhs6" localSheetId="0" hidden="1">Requisiti!$C$96</definedName>
    <definedName name="solver_rhs7" localSheetId="0" hidden="1">Requisiti!$C$97</definedName>
    <definedName name="solver_rhs8" localSheetId="0" hidden="1">Requisiti!$C$98</definedName>
    <definedName name="solver_rhs9" localSheetId="0" hidden="1">Requisiti!$C$99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1" i="566" l="1"/>
  <c r="H31" i="566"/>
  <c r="G32" i="566"/>
  <c r="H32" i="566"/>
  <c r="G33" i="566"/>
  <c r="H33" i="566"/>
  <c r="G34" i="566"/>
  <c r="H34" i="566"/>
  <c r="G35" i="566"/>
  <c r="H35" i="566"/>
  <c r="G36" i="566"/>
  <c r="H36" i="566"/>
  <c r="G37" i="566"/>
  <c r="H37" i="566"/>
  <c r="G38" i="566"/>
  <c r="H38" i="566"/>
  <c r="G39" i="566"/>
  <c r="H39" i="566"/>
  <c r="G40" i="566"/>
  <c r="H40" i="566"/>
  <c r="G41" i="566"/>
  <c r="H41" i="566"/>
  <c r="G42" i="566"/>
  <c r="H42" i="566"/>
  <c r="G44" i="566"/>
  <c r="H44" i="566"/>
  <c r="G45" i="566"/>
  <c r="H45" i="566"/>
  <c r="G47" i="566"/>
  <c r="H47" i="566"/>
  <c r="G48" i="566"/>
  <c r="H48" i="566"/>
  <c r="G49" i="566"/>
  <c r="H49" i="566"/>
  <c r="G50" i="566"/>
  <c r="H50" i="566"/>
  <c r="G51" i="566"/>
  <c r="H51" i="566"/>
  <c r="G52" i="566"/>
  <c r="H52" i="566"/>
  <c r="G53" i="566"/>
  <c r="H53" i="566"/>
  <c r="G54" i="566"/>
  <c r="H54" i="566"/>
  <c r="G55" i="566"/>
  <c r="H55" i="566"/>
  <c r="G56" i="566"/>
  <c r="H56" i="566"/>
  <c r="G57" i="566"/>
  <c r="H57" i="566"/>
  <c r="G58" i="566"/>
  <c r="H58" i="566"/>
  <c r="G59" i="566"/>
  <c r="H59" i="566"/>
  <c r="G60" i="566"/>
  <c r="H60" i="566"/>
  <c r="G61" i="566"/>
  <c r="H61" i="566"/>
  <c r="G62" i="566"/>
  <c r="H62" i="566"/>
  <c r="G63" i="566"/>
  <c r="H63" i="566"/>
  <c r="G64" i="566"/>
  <c r="H64" i="566"/>
  <c r="G65" i="566"/>
  <c r="H65" i="566"/>
  <c r="G3" i="566"/>
  <c r="G4" i="566"/>
  <c r="G9" i="566"/>
  <c r="G10" i="566"/>
  <c r="G11" i="566"/>
  <c r="G12" i="566"/>
  <c r="G13" i="566"/>
  <c r="G15" i="566"/>
  <c r="G16" i="566"/>
  <c r="G17" i="566"/>
  <c r="G18" i="566"/>
  <c r="G19" i="566"/>
  <c r="G20" i="566"/>
  <c r="G21" i="566"/>
  <c r="G22" i="566"/>
  <c r="G23" i="566"/>
  <c r="G24" i="566"/>
  <c r="G26" i="566"/>
  <c r="G27" i="566"/>
  <c r="G28" i="566"/>
  <c r="G29" i="566"/>
  <c r="G30" i="566"/>
  <c r="A30" i="530"/>
  <c r="A31" i="530"/>
  <c r="A32" i="530"/>
  <c r="A33" i="530"/>
  <c r="A34" i="530"/>
  <c r="A35" i="530"/>
  <c r="A36" i="530"/>
  <c r="A37" i="530"/>
  <c r="A38" i="530"/>
  <c r="A39" i="530"/>
  <c r="A40" i="530"/>
  <c r="A41" i="530"/>
  <c r="A42" i="530"/>
  <c r="A43" i="530"/>
  <c r="A44" i="530"/>
  <c r="A45" i="530"/>
  <c r="A46" i="530"/>
  <c r="A47" i="530"/>
  <c r="A48" i="530"/>
  <c r="A49" i="530"/>
  <c r="A50" i="530"/>
  <c r="A51" i="530"/>
  <c r="A52" i="530"/>
  <c r="A53" i="530"/>
  <c r="A54" i="530"/>
  <c r="A55" i="530"/>
  <c r="A56" i="530"/>
  <c r="A57" i="530"/>
  <c r="A58" i="530"/>
  <c r="A59" i="530"/>
  <c r="A60" i="530"/>
  <c r="A61" i="530"/>
  <c r="A62" i="530"/>
  <c r="A63" i="530"/>
  <c r="A64" i="530"/>
  <c r="H4" i="566"/>
  <c r="H9" i="566"/>
  <c r="H10" i="566"/>
  <c r="H11" i="566"/>
  <c r="H12" i="566"/>
  <c r="H13" i="566"/>
  <c r="H15" i="566"/>
  <c r="H16" i="566"/>
  <c r="H17" i="566"/>
  <c r="H18" i="566"/>
  <c r="H19" i="566"/>
  <c r="H20" i="566"/>
  <c r="H21" i="566"/>
  <c r="H22" i="566"/>
  <c r="H23" i="566"/>
  <c r="H24" i="566"/>
  <c r="H26" i="566"/>
  <c r="H27" i="566"/>
  <c r="H28" i="566"/>
  <c r="H29" i="566"/>
  <c r="H30" i="566"/>
  <c r="H3" i="566"/>
  <c r="A27" i="530"/>
  <c r="A28" i="530"/>
  <c r="A29" i="530"/>
  <c r="A22" i="530"/>
  <c r="A23" i="530"/>
  <c r="A24" i="530"/>
  <c r="A25" i="530"/>
  <c r="A26" i="530"/>
  <c r="B34" i="530" a="1"/>
  <c r="F33" i="530" a="1"/>
  <c r="D22" i="530" a="1"/>
  <c r="G24" i="530" a="1"/>
  <c r="D34" i="530" a="1"/>
  <c r="F35" i="530" a="1"/>
  <c r="G47" i="530" a="1"/>
  <c r="C43" i="530" a="1"/>
  <c r="B56" i="530" a="1"/>
  <c r="C24" i="530" a="1"/>
  <c r="C57" i="530" a="1"/>
  <c r="H54" i="530" a="1"/>
  <c r="H30" i="530" a="1"/>
  <c r="G35" i="530" a="1"/>
  <c r="D41" i="530" a="1"/>
  <c r="B47" i="530" a="1"/>
  <c r="B50" i="530" a="1"/>
  <c r="D24" i="530" a="1"/>
  <c r="B51" i="530" a="1"/>
  <c r="E30" i="530" a="1"/>
  <c r="G48" i="530" a="1"/>
  <c r="G63" i="530" a="1"/>
  <c r="D30" i="530" a="1"/>
  <c r="G37" i="530" a="1"/>
  <c r="E36" i="530" a="1"/>
  <c r="B48" i="530" a="1"/>
  <c r="H49" i="530" a="1"/>
  <c r="D51" i="530" a="1"/>
  <c r="F50" i="530" a="1"/>
  <c r="E49" i="530" a="1"/>
  <c r="F28" i="530" a="1"/>
  <c r="B25" i="530" a="1"/>
  <c r="E61" i="530" a="1"/>
  <c r="D57" i="530" a="1"/>
  <c r="H45" i="530" a="1"/>
  <c r="B53" i="530" a="1"/>
  <c r="C61" i="530" a="1"/>
  <c r="B62" i="530" a="1"/>
  <c r="H60" i="530" a="1"/>
  <c r="G41" i="530" a="1"/>
  <c r="H57" i="530" a="1"/>
  <c r="F51" i="530" a="1"/>
  <c r="F57" i="530" a="1"/>
  <c r="E31" i="530" a="1"/>
  <c r="D47" i="530" a="1"/>
  <c r="B44" i="530" a="1"/>
  <c r="C56" i="530" a="1"/>
  <c r="F55" i="530" a="1"/>
  <c r="G61" i="530" a="1"/>
  <c r="D25" i="530" a="1"/>
  <c r="D42" i="530" a="1"/>
  <c r="H46" i="530" a="1"/>
  <c r="F56" i="530" a="1"/>
  <c r="E23" i="530" a="1"/>
  <c r="B31" i="530" a="1"/>
  <c r="G32" i="530" a="1"/>
  <c r="B64" i="530" a="1"/>
  <c r="C46" i="530" a="1"/>
  <c r="G50" i="530" a="1"/>
  <c r="C26" i="530" a="1"/>
  <c r="G30" i="530" a="1"/>
  <c r="F63" i="530" a="1"/>
  <c r="H53" i="530" a="1"/>
  <c r="B33" i="530" a="1"/>
  <c r="B57" i="530" a="1"/>
  <c r="D48" i="530" a="1"/>
  <c r="C52" i="530" a="1"/>
  <c r="G25" i="530" a="1"/>
  <c r="F60" i="530" a="1"/>
  <c r="H37" i="530" a="1"/>
  <c r="H27" i="530" a="1"/>
  <c r="G44" i="530" a="1"/>
  <c r="H52" i="530" a="1"/>
  <c r="G45" i="530" a="1"/>
  <c r="H50" i="530" a="1"/>
  <c r="D45" i="530" a="1"/>
  <c r="H23" i="530" a="1"/>
  <c r="E48" i="530" a="1"/>
  <c r="G51" i="530" a="1"/>
  <c r="F46" i="530" a="1"/>
  <c r="F27" i="530" a="1"/>
  <c r="G26" i="530" a="1"/>
  <c r="E25" i="530" a="1"/>
  <c r="G58" i="530" a="1"/>
  <c r="E57" i="530" a="1"/>
  <c r="B46" i="530" a="1"/>
  <c r="F23" i="530" a="1"/>
  <c r="C45" i="530" a="1"/>
  <c r="D46" i="530" a="1"/>
  <c r="H58" i="530" a="1"/>
  <c r="D29" i="530" a="1"/>
  <c r="F58" i="530" a="1"/>
  <c r="B35" i="530" a="1"/>
  <c r="C49" i="530" a="1"/>
  <c r="D33" i="530" a="1"/>
  <c r="E45" i="530" a="1"/>
  <c r="C63" i="530" a="1"/>
  <c r="F48" i="530" a="1"/>
  <c r="B41" i="530" a="1"/>
  <c r="C40" i="530" a="1"/>
  <c r="F36" i="530" a="1"/>
  <c r="F25" i="530" a="1"/>
  <c r="F44" i="530" a="1"/>
  <c r="B28" i="530" a="1"/>
  <c r="H43" i="530" a="1"/>
  <c r="H32" i="530" a="1"/>
  <c r="C36" i="530" a="1"/>
  <c r="B27" i="530" a="1"/>
  <c r="C54" i="530" a="1"/>
  <c r="F61" i="530" a="1"/>
  <c r="B61" i="530" a="1"/>
  <c r="C25" i="530" a="1"/>
  <c r="H36" i="530" a="1"/>
  <c r="H34" i="530" a="1"/>
  <c r="E51" i="530" a="1"/>
  <c r="G54" i="530" a="1"/>
  <c r="B37" i="530" a="1"/>
  <c r="B23" i="530" a="1"/>
  <c r="C22" i="530" a="1"/>
  <c r="H39" i="530" a="1"/>
  <c r="D62" i="530" a="1"/>
  <c r="C60" i="530" a="1"/>
  <c r="C38" i="530" a="1"/>
  <c r="H55" i="530" a="1"/>
  <c r="G31" i="530" a="1"/>
  <c r="E53" i="530" a="1"/>
  <c r="C32" i="530" a="1"/>
  <c r="B49" i="530" a="1"/>
  <c r="C27" i="530" a="1"/>
  <c r="E32" i="530" a="1"/>
  <c r="H22" i="530" a="1"/>
  <c r="H25" i="530" a="1"/>
  <c r="B38" i="530" a="1"/>
  <c r="C58" i="530" a="1"/>
  <c r="B52" i="530" a="1"/>
  <c r="D36" i="530" a="1"/>
  <c r="G33" i="530" a="1"/>
  <c r="C47" i="530" a="1"/>
  <c r="D40" i="530" a="1"/>
  <c r="D49" i="530" a="1"/>
  <c r="G49" i="530" a="1"/>
  <c r="E26" i="530" a="1"/>
  <c r="C33" i="530" a="1"/>
  <c r="H29" i="530" a="1"/>
  <c r="C42" i="530" a="1"/>
  <c r="G34" i="530" a="1"/>
  <c r="G55" i="530" a="1"/>
  <c r="B42" i="530" a="1"/>
  <c r="E27" i="530" a="1"/>
  <c r="D52" i="530" a="1"/>
  <c r="E42" i="530" a="1"/>
  <c r="E47" i="530" a="1"/>
  <c r="F22" i="530" a="1"/>
  <c r="C23" i="530" a="1"/>
  <c r="F53" i="530" a="1"/>
  <c r="G62" i="530" a="1"/>
  <c r="G36" i="530" a="1"/>
  <c r="E62" i="530" a="1"/>
  <c r="G57" i="530" a="1"/>
  <c r="C30" i="530" a="1"/>
  <c r="C34" i="530" a="1"/>
  <c r="F30" i="530" a="1"/>
  <c r="E34" i="530" a="1"/>
  <c r="G39" i="530" a="1"/>
  <c r="G29" i="530" a="1"/>
  <c r="F26" i="530" a="1"/>
  <c r="F38" i="530" a="1"/>
  <c r="C28" i="530" a="1"/>
  <c r="H26" i="530" a="1"/>
  <c r="C51" i="530" a="1"/>
  <c r="H40" i="530" a="1"/>
  <c r="E28" i="530" a="1"/>
  <c r="G56" i="530" a="1"/>
  <c r="D55" i="530" a="1"/>
  <c r="B30" i="530" a="1"/>
  <c r="B36" i="530" a="1"/>
  <c r="C62" i="530" a="1"/>
  <c r="H24" i="530" a="1"/>
  <c r="F47" i="530" a="1"/>
  <c r="H64" i="530" a="1"/>
  <c r="C53" i="530" a="1"/>
  <c r="H48" i="530" a="1"/>
  <c r="G38" i="530" a="1"/>
  <c r="F31" i="530" a="1"/>
  <c r="F64" i="530" a="1"/>
  <c r="E60" i="530" a="1"/>
  <c r="H47" i="530" a="1"/>
  <c r="C64" i="530" a="1"/>
  <c r="G46" i="530" a="1"/>
  <c r="F40" i="530" a="1"/>
  <c r="B63" i="530" a="1"/>
  <c r="D59" i="530" a="1"/>
  <c r="E46" i="530" a="1"/>
  <c r="F34" i="530" a="1"/>
  <c r="G43" i="530" a="1"/>
  <c r="E63" i="530" a="1"/>
  <c r="G42" i="530" a="1"/>
  <c r="D35" i="530" a="1"/>
  <c r="B58" i="530" a="1"/>
  <c r="E40" i="530" a="1"/>
  <c r="F32" i="530" a="1"/>
  <c r="H51" i="530" a="1"/>
  <c r="D56" i="530" a="1"/>
  <c r="E64" i="530" a="1"/>
  <c r="C59" i="530" a="1"/>
  <c r="F29" i="530" a="1"/>
  <c r="C55" i="530" a="1"/>
  <c r="D53" i="530" a="1"/>
  <c r="D26" i="530" a="1"/>
  <c r="C29" i="530" a="1"/>
  <c r="H38" i="530" a="1"/>
  <c r="E43" i="530" a="1"/>
  <c r="F62" i="530" a="1"/>
  <c r="C50" i="530" a="1"/>
  <c r="H31" i="530" a="1"/>
  <c r="B32" i="530" a="1"/>
  <c r="E59" i="530" a="1"/>
  <c r="B55" i="530" a="1"/>
  <c r="D27" i="530" a="1"/>
  <c r="E22" i="530" a="1"/>
  <c r="H56" i="530" a="1"/>
  <c r="F59" i="530" a="1"/>
  <c r="D38" i="530" a="1"/>
  <c r="D61" i="530" a="1"/>
  <c r="E37" i="530" a="1"/>
  <c r="C44" i="530" a="1"/>
  <c r="H44" i="530" a="1"/>
  <c r="D37" i="530" a="1"/>
  <c r="H42" i="530" a="1"/>
  <c r="B60" i="530" a="1"/>
  <c r="E38" i="530" a="1"/>
  <c r="G59" i="530" a="1"/>
  <c r="D43" i="530" a="1"/>
  <c r="D60" i="530" a="1"/>
  <c r="B24" i="530" a="1"/>
  <c r="F45" i="530" a="1"/>
  <c r="C37" i="530" a="1"/>
  <c r="C41" i="530" a="1"/>
  <c r="D64" i="530" a="1"/>
  <c r="C35" i="530" a="1"/>
  <c r="H61" i="530" a="1"/>
  <c r="G64" i="530" a="1"/>
  <c r="E41" i="530" a="1"/>
  <c r="B59" i="530" a="1"/>
  <c r="F43" i="530" a="1"/>
  <c r="H33" i="530" a="1"/>
  <c r="E55" i="530" a="1"/>
  <c r="F54" i="530" a="1"/>
  <c r="B39" i="530" a="1"/>
  <c r="H63" i="530" a="1"/>
  <c r="G22" i="530" a="1"/>
  <c r="G28" i="530" a="1"/>
  <c r="D58" i="530" a="1"/>
  <c r="F52" i="530" a="1"/>
  <c r="D39" i="530" a="1"/>
  <c r="B22" i="530" a="1"/>
  <c r="C39" i="530" a="1"/>
  <c r="D54" i="530" a="1"/>
  <c r="D50" i="530" a="1"/>
  <c r="D31" i="530" a="1"/>
  <c r="B40" i="530" a="1"/>
  <c r="E29" i="530" a="1"/>
  <c r="E58" i="530" a="1"/>
  <c r="G60" i="530" a="1"/>
  <c r="H35" i="530" a="1"/>
  <c r="D28" i="530" a="1"/>
  <c r="D63" i="530" a="1"/>
  <c r="C31" i="530" a="1"/>
  <c r="F39" i="530" a="1"/>
  <c r="H41" i="530" a="1"/>
  <c r="B26" i="530" a="1"/>
  <c r="D32" i="530" a="1"/>
  <c r="H62" i="530" a="1"/>
  <c r="G53" i="530" a="1"/>
  <c r="G40" i="530" a="1"/>
  <c r="D23" i="530" a="1"/>
  <c r="E33" i="530" a="1"/>
  <c r="E44" i="530" a="1"/>
  <c r="F49" i="530" a="1"/>
  <c r="H28" i="530" a="1"/>
  <c r="B54" i="530" a="1"/>
  <c r="E54" i="530" a="1"/>
  <c r="H59" i="530" a="1"/>
  <c r="G23" i="530" a="1"/>
  <c r="E56" i="530" a="1"/>
  <c r="E39" i="530" a="1"/>
  <c r="F37" i="530" a="1"/>
  <c r="B45" i="530" a="1"/>
  <c r="E52" i="530" a="1"/>
  <c r="B43" i="530" a="1"/>
  <c r="E50" i="530" a="1"/>
  <c r="F42" i="530" a="1"/>
  <c r="E35" i="530" a="1"/>
  <c r="F24" i="530" a="1"/>
  <c r="C48" i="530" a="1"/>
  <c r="G52" i="530" a="1"/>
  <c r="B29" i="530" a="1"/>
  <c r="G27" i="530" a="1"/>
  <c r="F41" i="530" a="1"/>
  <c r="E24" i="530" a="1"/>
  <c r="D44" i="530" a="1"/>
  <c r="C22" i="530" l="1"/>
  <c r="B23" i="530"/>
  <c r="H23" i="530"/>
  <c r="G24" i="530"/>
  <c r="F25" i="530"/>
  <c r="E26" i="530"/>
  <c r="D27" i="530"/>
  <c r="C28" i="530"/>
  <c r="B29" i="530"/>
  <c r="H29" i="530"/>
  <c r="G30" i="530"/>
  <c r="F31" i="530"/>
  <c r="E32" i="530"/>
  <c r="D33" i="530"/>
  <c r="C34" i="530"/>
  <c r="B35" i="530"/>
  <c r="H35" i="530"/>
  <c r="G36" i="530"/>
  <c r="F37" i="530"/>
  <c r="E38" i="530"/>
  <c r="D39" i="530"/>
  <c r="C40" i="530"/>
  <c r="B41" i="530"/>
  <c r="H41" i="530"/>
  <c r="G42" i="530"/>
  <c r="F43" i="530"/>
  <c r="E44" i="530"/>
  <c r="D45" i="530"/>
  <c r="C46" i="530"/>
  <c r="B47" i="530"/>
  <c r="H47" i="530"/>
  <c r="G48" i="530"/>
  <c r="F49" i="530"/>
  <c r="E50" i="530"/>
  <c r="D51" i="530"/>
  <c r="C52" i="530"/>
  <c r="B53" i="530"/>
  <c r="H53" i="530"/>
  <c r="G54" i="530"/>
  <c r="F55" i="530"/>
  <c r="E56" i="530"/>
  <c r="D57" i="530"/>
  <c r="C58" i="530"/>
  <c r="B59" i="530"/>
  <c r="H59" i="530"/>
  <c r="G60" i="530"/>
  <c r="F61" i="530"/>
  <c r="E62" i="530"/>
  <c r="D63" i="530"/>
  <c r="C64" i="530"/>
  <c r="D22" i="530"/>
  <c r="C23" i="530"/>
  <c r="B24" i="530"/>
  <c r="H24" i="530"/>
  <c r="G25" i="530"/>
  <c r="F26" i="530"/>
  <c r="E27" i="530"/>
  <c r="D28" i="530"/>
  <c r="C29" i="530"/>
  <c r="B30" i="530"/>
  <c r="H30" i="530"/>
  <c r="G31" i="530"/>
  <c r="F32" i="530"/>
  <c r="E33" i="530"/>
  <c r="D34" i="530"/>
  <c r="C35" i="530"/>
  <c r="B36" i="530"/>
  <c r="H36" i="530"/>
  <c r="G37" i="530"/>
  <c r="F38" i="530"/>
  <c r="E39" i="530"/>
  <c r="D40" i="530"/>
  <c r="C41" i="530"/>
  <c r="B42" i="530"/>
  <c r="H42" i="530"/>
  <c r="G43" i="530"/>
  <c r="F44" i="530"/>
  <c r="E45" i="530"/>
  <c r="D46" i="530"/>
  <c r="C47" i="530"/>
  <c r="B48" i="530"/>
  <c r="H48" i="530"/>
  <c r="G49" i="530"/>
  <c r="F50" i="530"/>
  <c r="E51" i="530"/>
  <c r="D52" i="530"/>
  <c r="C53" i="530"/>
  <c r="B54" i="530"/>
  <c r="H54" i="530"/>
  <c r="G55" i="530"/>
  <c r="F56" i="530"/>
  <c r="E57" i="530"/>
  <c r="D58" i="530"/>
  <c r="C59" i="530"/>
  <c r="B60" i="530"/>
  <c r="H60" i="530"/>
  <c r="G61" i="530"/>
  <c r="F62" i="530"/>
  <c r="E63" i="530"/>
  <c r="D64" i="530"/>
  <c r="E22" i="530"/>
  <c r="D23" i="530"/>
  <c r="C24" i="530"/>
  <c r="B25" i="530"/>
  <c r="H25" i="530"/>
  <c r="G26" i="530"/>
  <c r="F27" i="530"/>
  <c r="E28" i="530"/>
  <c r="D29" i="530"/>
  <c r="C30" i="530"/>
  <c r="B31" i="530"/>
  <c r="H31" i="530"/>
  <c r="G32" i="530"/>
  <c r="F33" i="530"/>
  <c r="E34" i="530"/>
  <c r="D35" i="530"/>
  <c r="C36" i="530"/>
  <c r="B37" i="530"/>
  <c r="H37" i="530"/>
  <c r="G38" i="530"/>
  <c r="F39" i="530"/>
  <c r="E40" i="530"/>
  <c r="D41" i="530"/>
  <c r="C42" i="530"/>
  <c r="B43" i="530"/>
  <c r="H43" i="530"/>
  <c r="G44" i="530"/>
  <c r="F45" i="530"/>
  <c r="E46" i="530"/>
  <c r="D47" i="530"/>
  <c r="C48" i="530"/>
  <c r="B49" i="530"/>
  <c r="H49" i="530"/>
  <c r="G50" i="530"/>
  <c r="F51" i="530"/>
  <c r="E52" i="530"/>
  <c r="D53" i="530"/>
  <c r="C54" i="530"/>
  <c r="B55" i="530"/>
  <c r="H55" i="530"/>
  <c r="G56" i="530"/>
  <c r="F57" i="530"/>
  <c r="E58" i="530"/>
  <c r="D59" i="530"/>
  <c r="C60" i="530"/>
  <c r="B61" i="530"/>
  <c r="H61" i="530"/>
  <c r="G62" i="530"/>
  <c r="F63" i="530"/>
  <c r="E64" i="530"/>
  <c r="F22" i="530"/>
  <c r="E23" i="530"/>
  <c r="D24" i="530"/>
  <c r="C25" i="530"/>
  <c r="B26" i="530"/>
  <c r="H26" i="530"/>
  <c r="G27" i="530"/>
  <c r="F28" i="530"/>
  <c r="E29" i="530"/>
  <c r="D30" i="530"/>
  <c r="C31" i="530"/>
  <c r="B32" i="530"/>
  <c r="H32" i="530"/>
  <c r="G33" i="530"/>
  <c r="F34" i="530"/>
  <c r="E35" i="530"/>
  <c r="D36" i="530"/>
  <c r="C37" i="530"/>
  <c r="B38" i="530"/>
  <c r="H38" i="530"/>
  <c r="G39" i="530"/>
  <c r="F40" i="530"/>
  <c r="E41" i="530"/>
  <c r="D42" i="530"/>
  <c r="C43" i="530"/>
  <c r="B44" i="530"/>
  <c r="H44" i="530"/>
  <c r="G45" i="530"/>
  <c r="F46" i="530"/>
  <c r="E47" i="530"/>
  <c r="D48" i="530"/>
  <c r="C49" i="530"/>
  <c r="B50" i="530"/>
  <c r="H50" i="530"/>
  <c r="G51" i="530"/>
  <c r="F52" i="530"/>
  <c r="E53" i="530"/>
  <c r="D54" i="530"/>
  <c r="C55" i="530"/>
  <c r="B56" i="530"/>
  <c r="H56" i="530"/>
  <c r="G57" i="530"/>
  <c r="F58" i="530"/>
  <c r="E59" i="530"/>
  <c r="D60" i="530"/>
  <c r="C61" i="530"/>
  <c r="B62" i="530"/>
  <c r="H62" i="530"/>
  <c r="G63" i="530"/>
  <c r="F64" i="530"/>
  <c r="G22" i="530"/>
  <c r="F23" i="530"/>
  <c r="E24" i="530"/>
  <c r="D25" i="530"/>
  <c r="C26" i="530"/>
  <c r="B27" i="530"/>
  <c r="H27" i="530"/>
  <c r="G28" i="530"/>
  <c r="F29" i="530"/>
  <c r="E30" i="530"/>
  <c r="D31" i="530"/>
  <c r="C32" i="530"/>
  <c r="B33" i="530"/>
  <c r="H33" i="530"/>
  <c r="G34" i="530"/>
  <c r="F35" i="530"/>
  <c r="E36" i="530"/>
  <c r="D37" i="530"/>
  <c r="C38" i="530"/>
  <c r="B39" i="530"/>
  <c r="H39" i="530"/>
  <c r="G40" i="530"/>
  <c r="F41" i="530"/>
  <c r="E42" i="530"/>
  <c r="D43" i="530"/>
  <c r="C44" i="530"/>
  <c r="B45" i="530"/>
  <c r="H45" i="530"/>
  <c r="G46" i="530"/>
  <c r="F47" i="530"/>
  <c r="E48" i="530"/>
  <c r="D49" i="530"/>
  <c r="C50" i="530"/>
  <c r="B51" i="530"/>
  <c r="H51" i="530"/>
  <c r="G52" i="530"/>
  <c r="F53" i="530"/>
  <c r="E54" i="530"/>
  <c r="D55" i="530"/>
  <c r="C56" i="530"/>
  <c r="B57" i="530"/>
  <c r="H57" i="530"/>
  <c r="G58" i="530"/>
  <c r="F59" i="530"/>
  <c r="E60" i="530"/>
  <c r="D61" i="530"/>
  <c r="C62" i="530"/>
  <c r="B63" i="530"/>
  <c r="H63" i="530"/>
  <c r="G64" i="530"/>
  <c r="B22" i="530"/>
  <c r="H22" i="530"/>
  <c r="G23" i="530"/>
  <c r="F24" i="530"/>
  <c r="E25" i="530"/>
  <c r="D26" i="530"/>
  <c r="C27" i="530"/>
  <c r="B28" i="530"/>
  <c r="H28" i="530"/>
  <c r="G29" i="530"/>
  <c r="F30" i="530"/>
  <c r="E31" i="530"/>
  <c r="D32" i="530"/>
  <c r="C33" i="530"/>
  <c r="B34" i="530"/>
  <c r="H34" i="530"/>
  <c r="G35" i="530"/>
  <c r="F36" i="530"/>
  <c r="E37" i="530"/>
  <c r="D38" i="530"/>
  <c r="C39" i="530"/>
  <c r="B40" i="530"/>
  <c r="H40" i="530"/>
  <c r="G41" i="530"/>
  <c r="F42" i="530"/>
  <c r="E43" i="530"/>
  <c r="D44" i="530"/>
  <c r="C45" i="530"/>
  <c r="B46" i="530"/>
  <c r="H46" i="530"/>
  <c r="G47" i="530"/>
  <c r="F48" i="530"/>
  <c r="E49" i="530"/>
  <c r="D50" i="530"/>
  <c r="C51" i="530"/>
  <c r="B52" i="530"/>
  <c r="H52" i="530"/>
  <c r="G53" i="530"/>
  <c r="F54" i="530"/>
  <c r="E55" i="530"/>
  <c r="D56" i="530"/>
  <c r="C57" i="530"/>
  <c r="B58" i="530"/>
  <c r="H58" i="530"/>
  <c r="G59" i="530"/>
  <c r="F60" i="530"/>
  <c r="E61" i="530"/>
  <c r="D62" i="530"/>
  <c r="C63" i="530"/>
  <c r="B64" i="530"/>
  <c r="H64" i="530"/>
  <c r="A3" i="530"/>
  <c r="A4" i="530"/>
  <c r="A5" i="530"/>
  <c r="A6" i="530"/>
  <c r="A7" i="530"/>
  <c r="A8" i="530"/>
  <c r="A9" i="530"/>
  <c r="A10" i="530"/>
  <c r="A11" i="530"/>
  <c r="A12" i="530"/>
  <c r="A13" i="530"/>
  <c r="A14" i="530"/>
  <c r="A15" i="530"/>
  <c r="A16" i="530"/>
  <c r="A17" i="530"/>
  <c r="A18" i="530"/>
  <c r="A19" i="530"/>
  <c r="A20" i="530"/>
  <c r="A21" i="530"/>
  <c r="A2" i="530"/>
  <c r="B11" i="530" a="1"/>
  <c r="C18" i="530" a="1"/>
  <c r="F5" i="530" a="1"/>
  <c r="F9" i="530" a="1"/>
  <c r="E11" i="530" a="1"/>
  <c r="D12" i="530" a="1"/>
  <c r="D16" i="530" a="1"/>
  <c r="D20" i="530" a="1"/>
  <c r="D17" i="530" a="1"/>
  <c r="B16" i="530" a="1"/>
  <c r="F3" i="530" a="1"/>
  <c r="D13" i="530" a="1"/>
  <c r="E2" i="530" a="1"/>
  <c r="H13" i="530" a="1"/>
  <c r="B18" i="530" a="1"/>
  <c r="G14" i="530" a="1"/>
  <c r="D14" i="530" a="1"/>
  <c r="E16" i="530" a="1"/>
  <c r="G9" i="530" a="1"/>
  <c r="B10" i="530" a="1"/>
  <c r="C6" i="530" a="1"/>
  <c r="C20" i="530" a="1"/>
  <c r="G7" i="530" a="1"/>
  <c r="G21" i="530" a="1"/>
  <c r="C8" i="530" a="1"/>
  <c r="G8" i="530" a="1"/>
  <c r="G15" i="530" a="1"/>
  <c r="C17" i="530" a="1"/>
  <c r="E4" i="530" a="1"/>
  <c r="G16" i="530" a="1"/>
  <c r="H14" i="530" a="1"/>
  <c r="C21" i="530" a="1"/>
  <c r="B9" i="530" a="1"/>
  <c r="C3" i="530" a="1"/>
  <c r="E8" i="530" a="1"/>
  <c r="H21" i="530" a="1"/>
  <c r="E20" i="530" a="1"/>
  <c r="F6" i="530" a="1"/>
  <c r="E12" i="530" a="1"/>
  <c r="H16" i="530" a="1"/>
  <c r="E19" i="530" a="1"/>
  <c r="H18" i="530" a="1"/>
  <c r="D11" i="530" a="1"/>
  <c r="E21" i="530" a="1"/>
  <c r="H12" i="530" a="1"/>
  <c r="G3" i="530" a="1"/>
  <c r="C7" i="530" a="1"/>
  <c r="B15" i="530" a="1"/>
  <c r="H2" i="530" a="1"/>
  <c r="F19" i="530" a="1"/>
  <c r="D15" i="530" a="1"/>
  <c r="F17" i="530" a="1"/>
  <c r="G11" i="530" a="1"/>
  <c r="F13" i="530" a="1"/>
  <c r="B17" i="530" a="1"/>
  <c r="D8" i="530" a="1"/>
  <c r="E14" i="530" a="1"/>
  <c r="H15" i="530" a="1"/>
  <c r="G12" i="530" a="1"/>
  <c r="B2" i="530" a="1"/>
  <c r="F11" i="530" a="1"/>
  <c r="F7" i="530" a="1"/>
  <c r="D3" i="530" a="1"/>
  <c r="H7" i="530" a="1"/>
  <c r="B20" i="530" a="1"/>
  <c r="B7" i="530" a="1"/>
  <c r="C19" i="530" a="1"/>
  <c r="E10" i="530" a="1"/>
  <c r="G13" i="530" a="1"/>
  <c r="F10" i="530" a="1"/>
  <c r="G20" i="530" a="1"/>
  <c r="C10" i="530" a="1"/>
  <c r="C16" i="530" a="1"/>
  <c r="C14" i="530" a="1"/>
  <c r="D2" i="530" a="1"/>
  <c r="F2" i="530" a="1"/>
  <c r="C5" i="530" a="1"/>
  <c r="D7" i="530" a="1"/>
  <c r="E6" i="530" a="1"/>
  <c r="D4" i="530" a="1"/>
  <c r="H6" i="530" a="1"/>
  <c r="B4" i="530" a="1"/>
  <c r="E9" i="530" a="1"/>
  <c r="H3" i="530" a="1"/>
  <c r="H8" i="530" a="1"/>
  <c r="C12" i="530" a="1"/>
  <c r="F21" i="530" a="1"/>
  <c r="H5" i="530" a="1"/>
  <c r="F20" i="530" a="1"/>
  <c r="B19" i="530" a="1"/>
  <c r="D18" i="530" a="1"/>
  <c r="E18" i="530" a="1"/>
  <c r="F16" i="530" a="1"/>
  <c r="B21" i="530" a="1"/>
  <c r="C4" i="530" a="1"/>
  <c r="H11" i="530" a="1"/>
  <c r="H20" i="530" a="1"/>
  <c r="G19" i="530" a="1"/>
  <c r="E17" i="530" a="1"/>
  <c r="C15" i="530" a="1"/>
  <c r="H19" i="530" a="1"/>
  <c r="D9" i="530" a="1"/>
  <c r="G2" i="530" a="1"/>
  <c r="B5" i="530" a="1"/>
  <c r="F4" i="530" a="1"/>
  <c r="C9" i="530" a="1"/>
  <c r="H17" i="530" a="1"/>
  <c r="D10" i="530" a="1"/>
  <c r="G10" i="530" a="1"/>
  <c r="G6" i="530" a="1"/>
  <c r="C13" i="530" a="1"/>
  <c r="C2" i="530" a="1"/>
  <c r="G17" i="530" a="1"/>
  <c r="H9" i="530" a="1"/>
  <c r="E5" i="530" a="1"/>
  <c r="F15" i="530" a="1"/>
  <c r="D6" i="530" a="1"/>
  <c r="B6" i="530" a="1"/>
  <c r="E3" i="530" a="1"/>
  <c r="B14" i="530" a="1"/>
  <c r="G5" i="530" a="1"/>
  <c r="E13" i="530" a="1"/>
  <c r="C11" i="530" a="1"/>
  <c r="B13" i="530" a="1"/>
  <c r="D5" i="530" a="1"/>
  <c r="E7" i="530" a="1"/>
  <c r="G18" i="530" a="1"/>
  <c r="E15" i="530" a="1"/>
  <c r="B12" i="530" a="1"/>
  <c r="B3" i="530" a="1"/>
  <c r="G4" i="530" a="1"/>
  <c r="H4" i="530" a="1"/>
  <c r="B8" i="530" a="1"/>
  <c r="F12" i="530" a="1"/>
  <c r="F14" i="530" a="1"/>
  <c r="F18" i="530" a="1"/>
  <c r="H10" i="530" a="1"/>
  <c r="F8" i="530" a="1"/>
  <c r="D21" i="530" a="1"/>
  <c r="D19" i="530" a="1"/>
  <c r="F17" i="530" l="1"/>
  <c r="H17" i="530"/>
  <c r="E17" i="530"/>
  <c r="D17" i="530"/>
  <c r="C17" i="530"/>
  <c r="B17" i="530"/>
  <c r="G17" i="530"/>
  <c r="C4" i="530"/>
  <c r="H4" i="530"/>
  <c r="B4" i="530"/>
  <c r="G4" i="530"/>
  <c r="F4" i="530"/>
  <c r="E4" i="530"/>
  <c r="D4" i="530"/>
  <c r="C15" i="530"/>
  <c r="H15" i="530"/>
  <c r="B15" i="530"/>
  <c r="G15" i="530"/>
  <c r="F15" i="530"/>
  <c r="E15" i="530"/>
  <c r="D15" i="530"/>
  <c r="D14" i="530"/>
  <c r="C14" i="530"/>
  <c r="H14" i="530"/>
  <c r="F14" i="530"/>
  <c r="B14" i="530"/>
  <c r="G14" i="530"/>
  <c r="E14" i="530"/>
  <c r="H13" i="530"/>
  <c r="F13" i="530"/>
  <c r="G13" i="530"/>
  <c r="B13" i="530"/>
  <c r="E13" i="530"/>
  <c r="D13" i="530"/>
  <c r="C13" i="530"/>
  <c r="G5" i="530"/>
  <c r="B5" i="530"/>
  <c r="F5" i="530"/>
  <c r="E5" i="530"/>
  <c r="D5" i="530"/>
  <c r="C5" i="530"/>
  <c r="H5" i="530"/>
  <c r="B16" i="530"/>
  <c r="G16" i="530"/>
  <c r="F16" i="530"/>
  <c r="E16" i="530"/>
  <c r="D16" i="530"/>
  <c r="C16" i="530"/>
  <c r="H16" i="530"/>
  <c r="D3" i="530"/>
  <c r="C3" i="530"/>
  <c r="F3" i="530"/>
  <c r="H3" i="530"/>
  <c r="B3" i="530"/>
  <c r="G3" i="530"/>
  <c r="E3" i="530"/>
  <c r="H12" i="530"/>
  <c r="B12" i="530"/>
  <c r="F12" i="530"/>
  <c r="D12" i="530"/>
  <c r="E12" i="530"/>
  <c r="C12" i="530"/>
  <c r="G12" i="530"/>
  <c r="C11" i="530"/>
  <c r="H11" i="530"/>
  <c r="B11" i="530"/>
  <c r="G11" i="530"/>
  <c r="E11" i="530"/>
  <c r="F11" i="530"/>
  <c r="D11" i="530"/>
  <c r="F2" i="530"/>
  <c r="D2" i="530"/>
  <c r="G2" i="530"/>
  <c r="C2" i="530"/>
  <c r="B2" i="530"/>
  <c r="E2" i="530"/>
  <c r="H2" i="530"/>
  <c r="E10" i="530"/>
  <c r="D10" i="530"/>
  <c r="C10" i="530"/>
  <c r="H10" i="530"/>
  <c r="B10" i="530"/>
  <c r="G10" i="530"/>
  <c r="F10" i="530"/>
  <c r="E21" i="530"/>
  <c r="D21" i="530"/>
  <c r="G21" i="530"/>
  <c r="F21" i="530"/>
  <c r="C21" i="530"/>
  <c r="B21" i="530"/>
  <c r="H21" i="530"/>
  <c r="B9" i="530"/>
  <c r="F9" i="530"/>
  <c r="E9" i="530"/>
  <c r="D9" i="530"/>
  <c r="G9" i="530"/>
  <c r="H9" i="530"/>
  <c r="C9" i="530"/>
  <c r="G20" i="530"/>
  <c r="F20" i="530"/>
  <c r="E20" i="530"/>
  <c r="C20" i="530"/>
  <c r="H20" i="530"/>
  <c r="D20" i="530"/>
  <c r="B20" i="530"/>
  <c r="H8" i="530"/>
  <c r="E8" i="530"/>
  <c r="C8" i="530"/>
  <c r="B8" i="530"/>
  <c r="G8" i="530"/>
  <c r="F8" i="530"/>
  <c r="D8" i="530"/>
  <c r="D7" i="530"/>
  <c r="G7" i="530"/>
  <c r="B7" i="530"/>
  <c r="C7" i="530"/>
  <c r="H7" i="530"/>
  <c r="F7" i="530"/>
  <c r="E7" i="530"/>
  <c r="C19" i="530"/>
  <c r="H19" i="530"/>
  <c r="F19" i="530"/>
  <c r="G19" i="530"/>
  <c r="B19" i="530"/>
  <c r="D19" i="530"/>
  <c r="E19" i="530"/>
  <c r="B18" i="530"/>
  <c r="D18" i="530"/>
  <c r="C18" i="530"/>
  <c r="H18" i="530"/>
  <c r="G18" i="530"/>
  <c r="E18" i="530"/>
  <c r="F18" i="530"/>
  <c r="H6" i="530"/>
  <c r="F6" i="530"/>
  <c r="E6" i="530"/>
  <c r="C6" i="530"/>
  <c r="D6" i="530"/>
  <c r="B6" i="530"/>
  <c r="G6" i="530"/>
  <c r="M41" i="3"/>
  <c r="M58" i="3"/>
  <c r="L60" i="3"/>
  <c r="M25" i="3"/>
  <c r="P30" i="3"/>
  <c r="M36" i="3"/>
  <c r="R56" i="3"/>
  <c r="O41" i="3"/>
  <c r="P53" i="3"/>
  <c r="Q33" i="3"/>
  <c r="R30" i="3"/>
  <c r="L31" i="3"/>
  <c r="R59" i="3"/>
  <c r="N27" i="3"/>
  <c r="M30" i="3"/>
  <c r="Q40" i="3"/>
  <c r="Q46" i="3"/>
  <c r="Q27" i="3"/>
  <c r="N50" i="3"/>
  <c r="N41" i="3"/>
  <c r="O36" i="3"/>
  <c r="L41" i="3"/>
  <c r="P63" i="3"/>
  <c r="P41" i="3"/>
  <c r="R58" i="3"/>
  <c r="N38" i="3"/>
  <c r="O56" i="3"/>
  <c r="P33" i="3"/>
  <c r="L38" i="3"/>
  <c r="N36" i="3"/>
  <c r="Q36" i="3"/>
  <c r="M44" i="3"/>
  <c r="Q30" i="3"/>
  <c r="M64" i="3"/>
  <c r="M33" i="3"/>
  <c r="R63" i="3"/>
  <c r="P25" i="3"/>
  <c r="O38" i="3"/>
  <c r="Q48" i="3"/>
  <c r="P60" i="3"/>
  <c r="O40" i="3"/>
  <c r="R38" i="3"/>
  <c r="M27" i="3"/>
  <c r="N62" i="3"/>
  <c r="O53" i="3"/>
  <c r="R60" i="3"/>
  <c r="N64" i="3"/>
  <c r="R40" i="3"/>
  <c r="L44" i="3"/>
  <c r="P44" i="3"/>
  <c r="O62" i="3"/>
  <c r="M63" i="3"/>
  <c r="L59" i="3"/>
  <c r="L36" i="3"/>
  <c r="N48" i="3"/>
  <c r="O30" i="3"/>
  <c r="R36" i="3"/>
  <c r="N61" i="3"/>
  <c r="Q25" i="3"/>
  <c r="Q53" i="3"/>
  <c r="P31" i="3"/>
  <c r="Q23" i="3"/>
  <c r="O61" i="3"/>
  <c r="Q59" i="3"/>
  <c r="R64" i="3"/>
  <c r="R33" i="3"/>
  <c r="Q63" i="3"/>
  <c r="P56" i="3"/>
  <c r="N56" i="3"/>
  <c r="O63" i="3"/>
  <c r="N26" i="3"/>
  <c r="O27" i="3"/>
  <c r="Q31" i="3"/>
  <c r="P58" i="3"/>
  <c r="P23" i="3"/>
  <c r="M50" i="3"/>
  <c r="L33" i="3"/>
  <c r="Q44" i="3"/>
  <c r="M62" i="3"/>
  <c r="Q60" i="3"/>
  <c r="Q58" i="3"/>
  <c r="Q26" i="3"/>
  <c r="P61" i="3"/>
  <c r="N31" i="3"/>
  <c r="M40" i="3"/>
  <c r="R31" i="3"/>
  <c r="Q64" i="3"/>
  <c r="R61" i="3"/>
  <c r="P27" i="3"/>
  <c r="O26" i="3"/>
  <c r="N33" i="3"/>
  <c r="O50" i="3"/>
  <c r="L64" i="3"/>
  <c r="P36" i="3"/>
  <c r="P48" i="3"/>
  <c r="L25" i="3"/>
  <c r="N58" i="3"/>
  <c r="R48" i="3"/>
  <c r="L48" i="3"/>
  <c r="N59" i="3"/>
  <c r="O60" i="3"/>
  <c r="Q62" i="3"/>
  <c r="M48" i="3"/>
  <c r="L58" i="3"/>
  <c r="N44" i="3"/>
  <c r="M26" i="3"/>
  <c r="N40" i="3"/>
  <c r="N60" i="3"/>
  <c r="R23" i="3"/>
  <c r="L50" i="3"/>
  <c r="O23" i="3"/>
  <c r="O46" i="3"/>
  <c r="Q56" i="3"/>
  <c r="M53" i="3"/>
  <c r="O33" i="3"/>
  <c r="O58" i="3"/>
  <c r="R53" i="3"/>
  <c r="R27" i="3"/>
  <c r="L46" i="3"/>
  <c r="L30" i="3"/>
  <c r="Q50" i="3"/>
  <c r="M60" i="3"/>
  <c r="L26" i="3"/>
  <c r="L23" i="3"/>
  <c r="R44" i="3"/>
  <c r="O25" i="3"/>
  <c r="P26" i="3"/>
  <c r="N53" i="3"/>
  <c r="N30" i="3"/>
  <c r="O44" i="3"/>
  <c r="M46" i="3"/>
  <c r="M56" i="3"/>
  <c r="N63" i="3"/>
  <c r="R41" i="3"/>
  <c r="O64" i="3"/>
  <c r="P40" i="3"/>
  <c r="M61" i="3"/>
  <c r="N23" i="3"/>
  <c r="R50" i="3"/>
  <c r="R25" i="3"/>
  <c r="P59" i="3"/>
  <c r="L56" i="3"/>
  <c r="Q38" i="3"/>
  <c r="O48" i="3"/>
  <c r="R62" i="3"/>
  <c r="M38" i="3"/>
  <c r="P62" i="3"/>
  <c r="N25" i="3"/>
  <c r="P64" i="3"/>
  <c r="M23" i="3"/>
  <c r="M59" i="3"/>
  <c r="L53" i="3"/>
  <c r="L40" i="3"/>
  <c r="P50" i="3"/>
  <c r="L61" i="3"/>
  <c r="L27" i="3"/>
  <c r="R46" i="3"/>
  <c r="L62" i="3"/>
  <c r="P38" i="3"/>
  <c r="O59" i="3"/>
  <c r="L63" i="3"/>
  <c r="O31" i="3"/>
  <c r="R26" i="3"/>
  <c r="N46" i="3"/>
  <c r="Q41" i="3"/>
  <c r="M31" i="3"/>
  <c r="Q61" i="3"/>
  <c r="P46" i="3"/>
  <c r="M17" i="3" l="1"/>
  <c r="P11" i="3"/>
  <c r="O16" i="3"/>
  <c r="N8" i="3"/>
  <c r="R15" i="3"/>
  <c r="N3" i="3"/>
  <c r="L10" i="3"/>
  <c r="N20" i="3"/>
  <c r="P20" i="3"/>
  <c r="N9" i="3"/>
  <c r="R10" i="3"/>
  <c r="M21" i="3"/>
  <c r="Q9" i="3"/>
  <c r="L21" i="3"/>
  <c r="Q8" i="3"/>
  <c r="L19" i="3"/>
  <c r="M16" i="3"/>
  <c r="Q11" i="3"/>
  <c r="N12" i="3"/>
  <c r="R21" i="3"/>
  <c r="O9" i="3"/>
  <c r="R11" i="3"/>
  <c r="P9" i="3"/>
  <c r="R19" i="3"/>
  <c r="R9" i="3"/>
  <c r="P17" i="3"/>
  <c r="O19" i="3"/>
  <c r="L15" i="3"/>
  <c r="N17" i="3"/>
  <c r="M20" i="3"/>
  <c r="P2" i="3"/>
  <c r="P12" i="3"/>
  <c r="Q20" i="3"/>
  <c r="N2" i="3"/>
  <c r="M3" i="3"/>
  <c r="L11" i="3"/>
  <c r="O17" i="3"/>
  <c r="O8" i="3"/>
  <c r="M11" i="3"/>
  <c r="O11" i="3"/>
  <c r="O12" i="3"/>
  <c r="N11" i="3"/>
  <c r="P21" i="3"/>
  <c r="Q16" i="3"/>
  <c r="P8" i="3"/>
  <c r="N21" i="3"/>
  <c r="N10" i="3"/>
  <c r="R8" i="3"/>
  <c r="O10" i="3"/>
  <c r="O2" i="3"/>
  <c r="L17" i="3"/>
  <c r="M19" i="3"/>
  <c r="Q12" i="3"/>
  <c r="L12" i="3"/>
  <c r="M12" i="3"/>
  <c r="Q3" i="3"/>
  <c r="N19" i="3"/>
  <c r="R20" i="3"/>
  <c r="M15" i="3"/>
  <c r="N15" i="3"/>
  <c r="Q21" i="3"/>
  <c r="R17" i="3"/>
  <c r="R12" i="3"/>
  <c r="P16" i="3"/>
  <c r="O20" i="3"/>
  <c r="L8" i="3"/>
  <c r="O21" i="3"/>
  <c r="Q2" i="3"/>
  <c r="P3" i="3"/>
  <c r="P10" i="3"/>
  <c r="M10" i="3"/>
  <c r="L16" i="3"/>
  <c r="R16" i="3"/>
  <c r="L9" i="3"/>
  <c r="M9" i="3"/>
  <c r="M2" i="3"/>
  <c r="O15" i="3"/>
  <c r="R3" i="3"/>
  <c r="O3" i="3"/>
  <c r="L20" i="3"/>
  <c r="R2" i="3"/>
  <c r="L3" i="3"/>
  <c r="Q17" i="3"/>
  <c r="Q19" i="3"/>
  <c r="Q10" i="3"/>
  <c r="N16" i="3"/>
  <c r="M8" i="3"/>
  <c r="P15" i="3"/>
  <c r="Q15" i="3"/>
  <c r="P19" i="3"/>
  <c r="L2" i="3"/>
  <c r="K62" i="3" l="1"/>
  <c r="K64" i="3" l="1"/>
  <c r="K34" i="3"/>
  <c r="K56" i="3"/>
  <c r="K43" i="3"/>
  <c r="K33" i="3"/>
  <c r="K36" i="3"/>
  <c r="K25" i="3"/>
  <c r="K9" i="3"/>
  <c r="K54" i="3"/>
  <c r="K22" i="3"/>
  <c r="K16" i="3"/>
  <c r="K61" i="3"/>
  <c r="K52" i="3"/>
  <c r="K58" i="3"/>
  <c r="K38" i="3"/>
  <c r="K51" i="3"/>
  <c r="K47" i="3"/>
  <c r="K7" i="3"/>
  <c r="K2" i="3"/>
  <c r="K50" i="3"/>
  <c r="K60" i="3"/>
  <c r="K49" i="3"/>
  <c r="K8" i="3"/>
  <c r="K44" i="3"/>
  <c r="K57" i="3"/>
  <c r="K24" i="3"/>
  <c r="K17" i="3"/>
  <c r="K41" i="3"/>
  <c r="K23" i="3"/>
  <c r="K10" i="3"/>
  <c r="K6" i="3"/>
  <c r="K32" i="3"/>
  <c r="K15" i="3"/>
  <c r="K35" i="3"/>
  <c r="K48" i="3"/>
  <c r="K28" i="3"/>
  <c r="K45" i="3"/>
  <c r="K46" i="3"/>
  <c r="K40" i="3"/>
  <c r="K39" i="3"/>
  <c r="K13" i="3"/>
  <c r="K20" i="3"/>
  <c r="K21" i="3"/>
  <c r="K59" i="3"/>
  <c r="K30" i="3"/>
  <c r="K12" i="3"/>
  <c r="K26" i="3"/>
  <c r="K5" i="3"/>
  <c r="K63" i="3"/>
  <c r="K14" i="3"/>
  <c r="K29" i="3"/>
  <c r="K55" i="3"/>
  <c r="K18" i="3"/>
  <c r="K4" i="3"/>
  <c r="K3" i="3"/>
  <c r="K27" i="3"/>
  <c r="K19" i="3"/>
  <c r="K11" i="3"/>
  <c r="K53" i="3"/>
  <c r="K37" i="3"/>
  <c r="K42" i="3"/>
  <c r="K3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<sst xmlns="http://schemas.openxmlformats.org/spreadsheetml/2006/main" count="966" uniqueCount="560">
  <si>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</si>
  <si>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</si>
  <si>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</si>
  <si>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</si>
  <si>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</si>
  <si>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</si>
  <si>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</si>
  <si>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</si>
  <si>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</si>
  <si>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</si>
  <si>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</si>
  <si>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</si>
  <si>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</si>
  <si>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</si>
  <si>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</si>
  <si>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</si>
  <si>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</si>
  <si>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</si>
  <si>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</si>
  <si>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</si>
  <si>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</si>
  <si>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</si>
  <si>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</si>
  <si>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</si>
  <si>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</si>
  <si>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</si>
  <si>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</si>
  <si>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</si>
  <si>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</si>
  <si>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</si>
  <si>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</si>
  <si>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</si>
  <si>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</si>
  <si>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</si>
  <si>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</si>
  <si>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</si>
  <si>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</si>
  <si>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</si>
  <si>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</si>
  <si>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</si>
  <si>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</si>
  <si>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</si>
  <si>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</si>
  <si>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</si>
  <si>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20:00-20:15</t>
  </si>
  <si>
    <t>20:15-20:30</t>
  </si>
  <si>
    <t>20:30-20:45</t>
  </si>
  <si>
    <t>20:45-21:00</t>
  </si>
  <si>
    <t>fasce</t>
  </si>
  <si>
    <t>durata</t>
  </si>
  <si>
    <t>id turno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</si>
  <si>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</si>
  <si>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</si>
  <si>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</si>
  <si>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</si>
  <si>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</si>
  <si>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</si>
  <si>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</si>
  <si>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</si>
  <si>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</si>
  <si>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</si>
  <si>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</si>
  <si>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</si>
  <si>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</si>
  <si>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</si>
  <si>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</si>
  <si>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</si>
  <si>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</si>
  <si>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</si>
  <si>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</si>
  <si>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</si>
  <si>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</si>
  <si>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</si>
  <si>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</si>
  <si>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</si>
  <si>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</si>
  <si>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</si>
  <si>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</si>
  <si>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</si>
  <si>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</si>
  <si>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</si>
  <si>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</si>
  <si>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</si>
  <si>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</si>
  <si>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</si>
  <si>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</si>
  <si>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</si>
  <si>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</si>
  <si>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</si>
  <si>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</si>
  <si>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</si>
  <si>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</si>
  <si>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</si>
  <si>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</si>
  <si>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</si>
  <si>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</si>
  <si>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</si>
  <si>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</si>
  <si>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</si>
  <si>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</si>
  <si>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</si>
  <si>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</si>
  <si>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</si>
  <si>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</si>
  <si>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</si>
  <si>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</si>
  <si>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</si>
  <si>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</si>
  <si>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</si>
  <si>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</si>
  <si>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</si>
  <si>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</si>
  <si>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</si>
  <si>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</si>
  <si>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</si>
  <si>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</si>
  <si>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</si>
  <si>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</si>
  <si>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</si>
  <si>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</si>
  <si>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</si>
  <si>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</si>
  <si>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</si>
  <si>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</si>
  <si>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</si>
  <si>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</si>
  <si>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</si>
  <si>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</si>
  <si>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</si>
  <si>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</si>
  <si>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</si>
  <si>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</si>
  <si>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</si>
  <si>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</si>
  <si>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</si>
  <si>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</si>
  <si>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</si>
  <si>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</si>
  <si>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</si>
  <si>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</si>
  <si>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</si>
  <si>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</si>
  <si>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</si>
  <si>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</si>
  <si>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</si>
  <si>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</si>
  <si>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</si>
  <si>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</si>
  <si>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</si>
  <si>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</si>
  <si>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</si>
  <si>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21:00</t>
  </si>
  <si>
    <t>cf2</t>
  </si>
  <si>
    <t>cf3</t>
  </si>
  <si>
    <t>cf6</t>
  </si>
  <si>
    <t>cf8</t>
  </si>
  <si>
    <t>cf13</t>
  </si>
  <si>
    <t>cf14</t>
  </si>
  <si>
    <t>cf21</t>
  </si>
  <si>
    <t>cf23</t>
  </si>
  <si>
    <t>cf26</t>
  </si>
  <si>
    <t>09:00</t>
  </si>
  <si>
    <t>08:30</t>
  </si>
  <si>
    <t>12:30</t>
  </si>
  <si>
    <t>14:30</t>
  </si>
  <si>
    <t>16:30</t>
  </si>
  <si>
    <t>08:45</t>
  </si>
  <si>
    <t>12:45</t>
  </si>
  <si>
    <t>14:45</t>
  </si>
  <si>
    <t>13:00</t>
  </si>
  <si>
    <t>15:00</t>
  </si>
  <si>
    <t>17:00</t>
  </si>
  <si>
    <t>09:15</t>
  </si>
  <si>
    <t>13:15</t>
  </si>
  <si>
    <t>15:15</t>
  </si>
  <si>
    <t>09:30</t>
  </si>
  <si>
    <t>13:30</t>
  </si>
  <si>
    <t>15:30</t>
  </si>
  <si>
    <t>17:30</t>
  </si>
  <si>
    <t>09:45</t>
  </si>
  <si>
    <t>13:45</t>
  </si>
  <si>
    <t>15:45</t>
  </si>
  <si>
    <t>10:00</t>
  </si>
  <si>
    <t>14:00</t>
  </si>
  <si>
    <t>16:00</t>
  </si>
  <si>
    <t>18:00</t>
  </si>
  <si>
    <t>10:15</t>
  </si>
  <si>
    <t>14:15</t>
  </si>
  <si>
    <t>16:15</t>
  </si>
  <si>
    <t>10:30</t>
  </si>
  <si>
    <t>18:30</t>
  </si>
  <si>
    <t>10:45</t>
  </si>
  <si>
    <t>16:45</t>
  </si>
  <si>
    <t>11:00</t>
  </si>
  <si>
    <t>19:00</t>
  </si>
  <si>
    <t>11:15</t>
  </si>
  <si>
    <t>17:15</t>
  </si>
  <si>
    <t>11:30</t>
  </si>
  <si>
    <t>19:30</t>
  </si>
  <si>
    <t>11:45</t>
  </si>
  <si>
    <t>17:45</t>
  </si>
  <si>
    <t>12:00</t>
  </si>
  <si>
    <t>20:00</t>
  </si>
  <si>
    <t>12:15</t>
  </si>
  <si>
    <t>18:15</t>
  </si>
  <si>
    <t>20:30</t>
  </si>
  <si>
    <t>18:45</t>
  </si>
  <si>
    <t>19:45</t>
  </si>
  <si>
    <t>14:40</t>
  </si>
  <si>
    <t>20:40</t>
  </si>
  <si>
    <t>19:15</t>
  </si>
  <si>
    <t>20:15</t>
  </si>
  <si>
    <t>20:45</t>
  </si>
  <si>
    <t>14:20</t>
  </si>
  <si>
    <t>20:20</t>
  </si>
  <si>
    <t>13:20</t>
  </si>
  <si>
    <t>19:20</t>
  </si>
  <si>
    <t>Lun</t>
  </si>
  <si>
    <t>Mar</t>
  </si>
  <si>
    <t>Mer</t>
  </si>
  <si>
    <t>Gio</t>
  </si>
  <si>
    <t>Ven</t>
  </si>
  <si>
    <t>Sab</t>
  </si>
  <si>
    <t>Dom</t>
  </si>
  <si>
    <t>Riposi</t>
  </si>
  <si>
    <t>Ore</t>
  </si>
  <si>
    <t>Nome</t>
  </si>
  <si>
    <t>Inizio fascia</t>
  </si>
  <si>
    <t>Fine fascia</t>
  </si>
  <si>
    <t>entrata</t>
  </si>
  <si>
    <t>uscita</t>
  </si>
  <si>
    <t>id dipendente</t>
  </si>
  <si>
    <t>BETA_SLOT</t>
  </si>
  <si>
    <t>SLOPE_BETA</t>
  </si>
  <si>
    <t>BUCKET_GAIN</t>
  </si>
  <si>
    <t>SHIFT_SLIDE_MIN</t>
  </si>
  <si>
    <t>MAX_TURNS_PER_DAY</t>
  </si>
  <si>
    <t>MIN_BREAK_MIN</t>
  </si>
  <si>
    <t>COVERAGE_FACTOR</t>
  </si>
  <si>
    <t>WEEKEND_REST_PENALTY</t>
  </si>
  <si>
    <t>HOTSET_SIZE</t>
  </si>
  <si>
    <t>CLUSTER_PENALTY</t>
  </si>
  <si>
    <t>STAGGER_BONUS</t>
  </si>
  <si>
    <t>WASTE_PENALTY</t>
  </si>
  <si>
    <t>COOLDOWN_PENALTY</t>
  </si>
  <si>
    <t>SOFTCAP_RATIO</t>
  </si>
  <si>
    <t>DEBUG_LOG</t>
  </si>
  <si>
    <t>BUCKET_PREF_MOR</t>
  </si>
  <si>
    <t>BUCKET_PREF_MID</t>
  </si>
  <si>
    <t>BUCKET_PREF_EVE</t>
  </si>
  <si>
    <t>parametro</t>
  </si>
  <si>
    <t>valore</t>
  </si>
  <si>
    <t>Legenda rapida (cosa toccare e perché)</t>
  </si>
  <si>
    <t>Distribuzione capacità (segue la curva Requisiti)</t>
  </si>
  <si>
    <r>
      <t>BETA_SLOT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(0.3–1.2, def 0.6)</t>
    </r>
  </si>
  <si>
    <t>Aumenta quanto il motore spinge dove i requisiti sono sopra la media. Più alto ⇒ più persone nei picchi, meno nelle valli.</t>
  </si>
  <si>
    <r>
      <t>SLOPE_BETA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(0.2–1.0, def 0.4)</t>
    </r>
  </si>
  <si>
    <r>
      <t xml:space="preserve">Premia i </t>
    </r>
    <r>
      <rPr>
        <b/>
        <sz val="11"/>
        <color theme="1"/>
        <rFont val="Calibri"/>
        <family val="2"/>
        <scheme val="minor"/>
      </rPr>
      <t>ramp-up</t>
    </r>
    <r>
      <rPr>
        <sz val="11"/>
        <color theme="1"/>
        <rFont val="Calibri"/>
        <family val="2"/>
        <scheme val="minor"/>
      </rPr>
      <t xml:space="preserve"> (aperture/salite). Più alto ⇒ più gente </t>
    </r>
    <r>
      <rPr>
        <b/>
        <sz val="11"/>
        <color theme="1"/>
        <rFont val="Calibri"/>
        <family val="2"/>
        <scheme val="minor"/>
      </rPr>
      <t>in apertura</t>
    </r>
    <r>
      <rPr>
        <sz val="11"/>
        <color theme="1"/>
        <rFont val="Calibri"/>
        <family val="2"/>
        <scheme val="minor"/>
      </rPr>
      <t>.</t>
    </r>
  </si>
  <si>
    <r>
      <t>BUCKET_GAIN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(20–60, def 35)</t>
    </r>
  </si>
  <si>
    <t>Peso del bilanciamento tra fasce MOR/MID/EVE. Più alto ⇒ rispetta di più la “quota” per fascia.</t>
  </si>
  <si>
    <r>
      <t xml:space="preserve">(se hai attivato i pesi di daypart) </t>
    </r>
    <r>
      <rPr>
        <sz val="10"/>
        <color theme="1"/>
        <rFont val="Arial Unicode MS"/>
      </rPr>
      <t>BUCKET_PREF_MOR / MID / EVE</t>
    </r>
  </si>
  <si>
    <t>es. MOR 1.25, MID 0.85, EVE 1.05 per spingere mattina e scaricare il centro.</t>
  </si>
  <si>
    <t>Turni &amp; start</t>
  </si>
  <si>
    <r>
      <t>SHIFT_SLIDE_MIN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(15/30/60, def 15)</t>
    </r>
  </si>
  <si>
    <r>
      <t xml:space="preserve">Granularità di scorrimento dei turni virtuali. 15 = abilita start a </t>
    </r>
    <r>
      <rPr>
        <b/>
        <sz val="11"/>
        <color theme="1"/>
        <rFont val="Calibri"/>
        <family val="2"/>
        <scheme val="minor"/>
      </rPr>
      <t>:15/:30/:45</t>
    </r>
    <r>
      <rPr>
        <sz val="11"/>
        <color theme="1"/>
        <rFont val="Calibri"/>
        <family val="2"/>
        <scheme val="minor"/>
      </rPr>
      <t>.</t>
    </r>
  </si>
  <si>
    <r>
      <t>WINDOW_TOL_MIN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(0–30, def 15)</t>
    </r>
  </si>
  <si>
    <t>Tolleranza sui vincoli finestra lavorativa. Più alto = leggermente più elastico sugli orari.</t>
  </si>
  <si>
    <t>Riposi, pause, ore</t>
  </si>
  <si>
    <r>
      <t>MAX_TURNS_PER_DAY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(1–3, def 2)</t>
    </r>
  </si>
  <si>
    <t>Quanti turni max per risorsa al giorno.</t>
  </si>
  <si>
    <r>
      <t>MIN_BREAK_MIN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(15–60, def 30)</t>
    </r>
  </si>
  <si>
    <t>Pausa minima tra due turni della stessa persona.</t>
  </si>
  <si>
    <r>
      <t>SOFTCAP_RATIO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(0.6–1.0, def 0.8)</t>
    </r>
  </si>
  <si>
    <t>Oltre questa % delle ore giornaliere, il gain scende (evita concentrare troppe ore sulle stesse persone).</t>
  </si>
  <si>
    <r>
      <t>COVERAGE_FACTOR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(0.8–1.2, def 1.0)</t>
    </r>
  </si>
  <si>
    <r>
      <t xml:space="preserve">Quante persone </t>
    </r>
    <r>
      <rPr>
        <b/>
        <sz val="11"/>
        <color theme="1"/>
        <rFont val="Calibri"/>
        <family val="2"/>
        <scheme val="minor"/>
      </rPr>
      <t>minime</t>
    </r>
    <r>
      <rPr>
        <sz val="11"/>
        <color theme="1"/>
        <rFont val="Calibri"/>
        <family val="2"/>
        <scheme val="minor"/>
      </rPr>
      <t xml:space="preserve"> attive nei picchi (usato per limitare i riposi). Più alto ⇒ meno riposi nei giorni “caldi”.</t>
    </r>
  </si>
  <si>
    <r>
      <t>WEEKEND_REST_PENALTY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(800–2000, def 1200)</t>
    </r>
  </si>
  <si>
    <t>Penalità a dare riposo nel weekend (aumentala se vuoi più presenza Sab/Dom).</t>
  </si>
  <si>
    <t>Stile assegnazioni</t>
  </si>
  <si>
    <r>
      <t>CLUSTER_PENALTY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(3–10, def 6)</t>
    </r>
  </si>
  <si>
    <t>Evita troppi turni con lo stesso start.</t>
  </si>
  <si>
    <r>
      <t>STAGGER_BONUS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(2–8, def 4)</t>
    </r>
  </si>
  <si>
    <r>
      <t xml:space="preserve">Favorisce la </t>
    </r>
    <r>
      <rPr>
        <b/>
        <sz val="11"/>
        <color theme="1"/>
        <rFont val="Calibri"/>
        <family val="2"/>
        <scheme val="minor"/>
      </rPr>
      <t>sfalsatura</t>
    </r>
    <r>
      <rPr>
        <sz val="11"/>
        <color theme="1"/>
        <rFont val="Calibri"/>
        <family val="2"/>
        <scheme val="minor"/>
      </rPr>
      <t xml:space="preserve"> dei start (:00/:15/:30/:45).</t>
    </r>
  </si>
  <si>
    <r>
      <t>WASTE_PENALTY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(5–12, def 8)</t>
    </r>
  </si>
  <si>
    <t>Penalizza assegnazioni dove non c’è deficit (riduce over-staffing).</t>
  </si>
  <si>
    <r>
      <t>COOLDOWN_PENALTY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(2–6, def 3)</t>
    </r>
  </si>
  <si>
    <r>
      <t xml:space="preserve">Sconsiglia scegliere due start consecutivi nella </t>
    </r>
    <r>
      <rPr>
        <b/>
        <sz val="11"/>
        <color theme="1"/>
        <rFont val="Calibri"/>
        <family val="2"/>
        <scheme val="minor"/>
      </rPr>
      <t>stessa ora</t>
    </r>
    <r>
      <rPr>
        <sz val="11"/>
        <color theme="1"/>
        <rFont val="Calibri"/>
        <family val="2"/>
        <scheme val="minor"/>
      </rPr>
      <t>.</t>
    </r>
  </si>
  <si>
    <t>Performance (senza intaccare il risultato)</t>
  </si>
  <si>
    <r>
      <t>HOTSET_SIZE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(4–8, def 6)</t>
    </r>
  </si>
  <si>
    <t>Quanti “slot caldi” guardare a ogni iterazione. Più basso ⇒ più veloce.</t>
  </si>
  <si>
    <r>
      <t>DEBUG_LOG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(True/False, def False)</t>
    </r>
  </si>
  <si>
    <r>
      <t xml:space="preserve">Spegni i </t>
    </r>
    <r>
      <rPr>
        <sz val="10"/>
        <color theme="1"/>
        <rFont val="Arial Unicode MS"/>
      </rPr>
      <t>Debug.Print</t>
    </r>
    <r>
      <rPr>
        <sz val="11"/>
        <color theme="1"/>
        <rFont val="Calibri"/>
        <family val="2"/>
        <scheme val="minor"/>
      </rPr>
      <t xml:space="preserve"> durante il run.</t>
    </r>
  </si>
  <si>
    <t>MINUTE_BIAS_00</t>
  </si>
  <si>
    <t>MINUTE_BIAS_15</t>
  </si>
  <si>
    <t>MINUTE_BIAS_30</t>
  </si>
  <si>
    <t>MINUTE_BIAS_45</t>
  </si>
  <si>
    <t>HOUR_SAT_PENALTY</t>
  </si>
  <si>
    <t>Parametri (Config)</t>
  </si>
  <si>
    <r>
      <t>BETA_SLOT</t>
    </r>
    <r>
      <rPr>
        <sz val="11"/>
        <color theme="1"/>
        <rFont val="Calibri"/>
        <family val="2"/>
        <scheme val="minor"/>
      </rPr>
      <t xml:space="preserve"> (≈0.2–1.2)</t>
    </r>
  </si>
  <si>
    <t>Aumenta il peso degli slot con domanda sopra media. ↑ = più aggressivo sui picchi.</t>
  </si>
  <si>
    <r>
      <t>SLOPE_BETA</t>
    </r>
    <r>
      <rPr>
        <sz val="11"/>
        <color theme="1"/>
        <rFont val="Calibri"/>
        <family val="2"/>
        <scheme val="minor"/>
      </rPr>
      <t xml:space="preserve"> (0–1.5)</t>
    </r>
  </si>
  <si>
    <r>
      <t xml:space="preserve">Premia gli inizi che precedono </t>
    </r>
    <r>
      <rPr>
        <b/>
        <sz val="11"/>
        <color theme="1"/>
        <rFont val="Calibri"/>
        <family val="2"/>
        <scheme val="minor"/>
      </rPr>
      <t>rampe in salita</t>
    </r>
    <r>
      <rPr>
        <sz val="11"/>
        <color theme="1"/>
        <rFont val="Calibri"/>
        <family val="2"/>
        <scheme val="minor"/>
      </rPr>
      <t xml:space="preserve"> della domanda. ↑ = più “preventivo”.</t>
    </r>
  </si>
  <si>
    <r>
      <t>BUCKET_GAIN</t>
    </r>
    <r>
      <rPr>
        <sz val="11"/>
        <color theme="1"/>
        <rFont val="Calibri"/>
        <family val="2"/>
        <scheme val="minor"/>
      </rPr>
      <t xml:space="preserve"> (20–300)</t>
    </r>
  </si>
  <si>
    <t>Ricompensa l’assegnazione nel bucket meno coperto (MOR/MID/EVE). ↑ = bilanciamento più forte.</t>
  </si>
  <si>
    <r>
      <t>SHIFT_SLIDE_MIN</t>
    </r>
    <r>
      <rPr>
        <sz val="11"/>
        <color theme="1"/>
        <rFont val="Calibri"/>
        <family val="2"/>
        <scheme val="minor"/>
      </rPr>
      <t xml:space="preserve"> (5–30 min)</t>
    </r>
  </si>
  <si>
    <t>Grana delle partenze generate dai turni base. ↓ = più varietà (ma più lento).</t>
  </si>
  <si>
    <r>
      <t>HOTSET_SIZE</t>
    </r>
    <r>
      <rPr>
        <sz val="11"/>
        <color theme="1"/>
        <rFont val="Calibri"/>
        <family val="2"/>
        <scheme val="minor"/>
      </rPr>
      <t xml:space="preserve"> (6–24)</t>
    </r>
  </si>
  <si>
    <t>Quanti slot “caldi” guardare. ↑ = più concentrato sui deficit maggiori.</t>
  </si>
  <si>
    <r>
      <t>MAX_TURNS_PER_DAY</t>
    </r>
    <r>
      <rPr>
        <sz val="11"/>
        <color theme="1"/>
        <rFont val="Calibri"/>
        <family val="2"/>
        <scheme val="minor"/>
      </rPr>
      <t xml:space="preserve"> (1–3)</t>
    </r>
  </si>
  <si>
    <t>Limite turni per risorsa al giorno.</t>
  </si>
  <si>
    <r>
      <t>MIN_BREAK_MIN</t>
    </r>
    <r>
      <rPr>
        <sz val="11"/>
        <color theme="1"/>
        <rFont val="Calibri"/>
        <family val="2"/>
        <scheme val="minor"/>
      </rPr>
      <t xml:space="preserve"> (15–120)</t>
    </r>
  </si>
  <si>
    <t>Pausa minima tra due turni della stessa risorsa.</t>
  </si>
  <si>
    <r>
      <t>COVERAGE_FACTOR</t>
    </r>
    <r>
      <rPr>
        <sz val="11"/>
        <color theme="1"/>
        <rFont val="Calibri"/>
        <family val="2"/>
        <scheme val="minor"/>
      </rPr>
      <t xml:space="preserve"> (0.8–1.2)</t>
    </r>
  </si>
  <si>
    <t>Fattore con cui stimiamo le risorse minime “attive” per calcolare i riposi. ↑ = meno riposi nei giorni caldi.</t>
  </si>
  <si>
    <r>
      <t>WEEKEND_REST_PENALTY</t>
    </r>
    <r>
      <rPr>
        <sz val="11"/>
        <color theme="1"/>
        <rFont val="Calibri"/>
        <family val="2"/>
        <scheme val="minor"/>
      </rPr>
      <t xml:space="preserve"> (0–2000)</t>
    </r>
  </si>
  <si>
    <t>Penalità a dare riposo Sab/Dom. ↑ = meno riposi nel weekend.</t>
  </si>
  <si>
    <r>
      <t>CLUSTER_PENALTY</t>
    </r>
    <r>
      <rPr>
        <sz val="11"/>
        <color theme="1"/>
        <rFont val="Calibri"/>
        <family val="2"/>
        <scheme val="minor"/>
      </rPr>
      <t xml:space="preserve"> (0–20)</t>
    </r>
  </si>
  <si>
    <r>
      <t xml:space="preserve">Penalità se troppi inizi </t>
    </r>
    <r>
      <rPr>
        <b/>
        <sz val="11"/>
        <color theme="1"/>
        <rFont val="Calibri"/>
        <family val="2"/>
        <scheme val="minor"/>
      </rPr>
      <t>nello stesso minuto</t>
    </r>
    <r>
      <rPr>
        <sz val="11"/>
        <color theme="1"/>
        <rFont val="Calibri"/>
        <family val="2"/>
        <scheme val="minor"/>
      </rPr>
      <t>. ↑ = più dispersione.</t>
    </r>
  </si>
  <si>
    <r>
      <t>STAGGER_BONUS</t>
    </r>
    <r>
      <rPr>
        <sz val="11"/>
        <color theme="1"/>
        <rFont val="Calibri"/>
        <family val="2"/>
        <scheme val="minor"/>
      </rPr>
      <t xml:space="preserve"> (0–20)</t>
    </r>
  </si>
  <si>
    <t>Bonus a scegliere il minuto meno usato dell’ora (00/15/30/45). ↑ = più scaglionamento.</t>
  </si>
  <si>
    <r>
      <t>WASTE_PENALTY</t>
    </r>
    <r>
      <rPr>
        <sz val="11"/>
        <color theme="1"/>
        <rFont val="Calibri"/>
        <family val="2"/>
        <scheme val="minor"/>
      </rPr>
      <t xml:space="preserve"> (0–20)</t>
    </r>
  </si>
  <si>
    <t>Penalità a coprire slot già saturi. ↑ = meno over-coverage.</t>
  </si>
  <si>
    <r>
      <t>COOLDOWN_PENALTY</t>
    </r>
    <r>
      <rPr>
        <sz val="11"/>
        <color theme="1"/>
        <rFont val="Calibri"/>
        <family val="2"/>
        <scheme val="minor"/>
      </rPr>
      <t xml:space="preserve"> (0–20)</t>
    </r>
  </si>
  <si>
    <r>
      <t xml:space="preserve">Penalità se si continua a scegliere </t>
    </r>
    <r>
      <rPr>
        <b/>
        <sz val="11"/>
        <color theme="1"/>
        <rFont val="Calibri"/>
        <family val="2"/>
        <scheme val="minor"/>
      </rPr>
      <t>la stessa ora</t>
    </r>
    <r>
      <rPr>
        <sz val="11"/>
        <color theme="1"/>
        <rFont val="Calibri"/>
        <family val="2"/>
        <scheme val="minor"/>
      </rPr>
      <t xml:space="preserve"> consecutiva. ↑ = più varietà tra ore.</t>
    </r>
  </si>
  <si>
    <r>
      <t>SOFTCAP_RATIO</t>
    </r>
    <r>
      <rPr>
        <sz val="11"/>
        <color theme="1"/>
        <rFont val="Calibri"/>
        <family val="2"/>
        <scheme val="minor"/>
      </rPr>
      <t xml:space="preserve"> (0.5–0.95)</t>
    </r>
  </si>
  <si>
    <t>Soglia “soft” delle ore/giorno oltre cui penalizzare la stessa risorsa. ↓ = più distribuzione tra persone.</t>
  </si>
  <si>
    <r>
      <t>BUCKET_PREF_MOR / MID / EVE</t>
    </r>
    <r>
      <rPr>
        <sz val="11"/>
        <color theme="1"/>
        <rFont val="Calibri"/>
        <family val="2"/>
        <scheme val="minor"/>
      </rPr>
      <t xml:space="preserve"> (0.1–2.0)</t>
    </r>
  </si>
  <si>
    <t>Pesi per preferire mattina / metà / sera.</t>
  </si>
  <si>
    <r>
      <t xml:space="preserve">Esempio: per ottenere più ingressi 9:30–10:30 alza </t>
    </r>
    <r>
      <rPr>
        <b/>
        <sz val="11"/>
        <color theme="1"/>
        <rFont val="Calibri"/>
        <family val="2"/>
        <scheme val="minor"/>
      </rPr>
      <t>MID</t>
    </r>
    <r>
      <rPr>
        <sz val="11"/>
        <color theme="1"/>
        <rFont val="Calibri"/>
        <family val="2"/>
        <scheme val="minor"/>
      </rPr>
      <t xml:space="preserve"> verso 0.8–1.0 (se ora è 0.15 è troppo penalizzato).</t>
    </r>
  </si>
  <si>
    <r>
      <t>MINUTE_BIAS_00 / 15 / 30 / 45</t>
    </r>
    <r>
      <rPr>
        <sz val="11"/>
        <color theme="1"/>
        <rFont val="Calibri"/>
        <family val="2"/>
        <scheme val="minor"/>
      </rPr>
      <t xml:space="preserve"> (-5…15)</t>
    </r>
  </si>
  <si>
    <t>Bias additivi sui minuti. ↑ su 15/30/45 = più partenze a :15/:30/:45.</t>
  </si>
  <si>
    <t>(Valori negativi scoraggiano quel minuto.)</t>
  </si>
  <si>
    <r>
      <t>HOUR_SAT_PENALTY</t>
    </r>
    <r>
      <rPr>
        <sz val="11"/>
        <color theme="1"/>
        <rFont val="Calibri"/>
        <family val="2"/>
        <scheme val="minor"/>
      </rPr>
      <t xml:space="preserve"> (0–20)</t>
    </r>
  </si>
  <si>
    <r>
      <t xml:space="preserve">Penalità per </t>
    </r>
    <r>
      <rPr>
        <b/>
        <sz val="11"/>
        <color theme="1"/>
        <rFont val="Calibri"/>
        <family val="2"/>
        <scheme val="minor"/>
      </rPr>
      <t>ogni ulteriore</t>
    </r>
    <r>
      <rPr>
        <sz val="11"/>
        <color theme="1"/>
        <rFont val="Calibri"/>
        <family val="2"/>
        <scheme val="minor"/>
      </rPr>
      <t xml:space="preserve"> inizio nella stessa </t>
    </r>
    <r>
      <rPr>
        <b/>
        <sz val="11"/>
        <color theme="1"/>
        <rFont val="Calibri"/>
        <family val="2"/>
        <scheme val="minor"/>
      </rPr>
      <t>ora</t>
    </r>
    <r>
      <rPr>
        <sz val="11"/>
        <color theme="1"/>
        <rFont val="Calibri"/>
        <family val="2"/>
        <scheme val="minor"/>
      </rPr>
      <t xml:space="preserve"> oltre il primo. ↑ = meno “ammassi” alle 09:00.</t>
    </r>
  </si>
  <si>
    <r>
      <t>DEBUG_LOG</t>
    </r>
    <r>
      <rPr>
        <sz val="11"/>
        <color theme="1"/>
        <rFont val="Calibri"/>
        <family val="2"/>
        <scheme val="minor"/>
      </rPr>
      <t xml:space="preserve"> (TRUE/FALSE)</t>
    </r>
  </si>
  <si>
    <t>Abilita log di diagnostica in Immediate Window.</t>
  </si>
  <si>
    <t>Parametri fissi (non su Config, ma presenti nel codice)</t>
  </si>
  <si>
    <r>
      <t>ALPHA_DEFICIT</t>
    </r>
    <r>
      <rPr>
        <sz val="11"/>
        <color theme="1"/>
        <rFont val="Calibri"/>
        <family val="2"/>
        <scheme val="minor"/>
      </rPr>
      <t xml:space="preserve"> (1.25) intensità premio in slot in deficit.</t>
    </r>
  </si>
  <si>
    <r>
      <t>FAIR_ALPHA</t>
    </r>
    <r>
      <rPr>
        <sz val="11"/>
        <color theme="1"/>
        <rFont val="Calibri"/>
        <family val="2"/>
        <scheme val="minor"/>
      </rPr>
      <t xml:space="preserve"> (0.25) riequilibrio ore totali tra persone.</t>
    </r>
  </si>
  <si>
    <r>
      <t>MIN_DEFICIT_SLOTS</t>
    </r>
    <r>
      <rPr>
        <sz val="11"/>
        <color theme="1"/>
        <rFont val="Calibri"/>
        <family val="2"/>
        <scheme val="minor"/>
      </rPr>
      <t xml:space="preserve"> (1) copertura minima perché un turno “conti”.</t>
    </r>
  </si>
  <si>
    <r>
      <t>HOT_RADIUS_SLOTS</t>
    </r>
    <r>
      <rPr>
        <sz val="11"/>
        <color theme="1"/>
        <rFont val="Calibri"/>
        <family val="2"/>
        <scheme val="minor"/>
      </rPr>
      <t xml:space="preserve"> (1) raggio attorno agli hot slot.</t>
    </r>
  </si>
  <si>
    <r>
      <t>WINDOW_TOL_MIN</t>
    </r>
    <r>
      <rPr>
        <sz val="11"/>
        <color theme="1"/>
        <rFont val="Calibri"/>
        <family val="2"/>
        <scheme val="minor"/>
      </rPr>
      <t xml:space="preserve"> (15) tolleranza sulla finestra risorsa.</t>
    </r>
  </si>
  <si>
    <t>Come leggere la colonna “Note”</t>
  </si>
  <si>
    <r>
      <t xml:space="preserve">Formato: </t>
    </r>
    <r>
      <rPr>
        <b/>
        <sz val="10"/>
        <color theme="1"/>
        <rFont val="Arial Unicode MS"/>
      </rPr>
      <t>X% in deficit (a/b)</t>
    </r>
  </si>
  <si>
    <r>
      <t>b</t>
    </r>
    <r>
      <rPr>
        <sz val="11"/>
        <color theme="1"/>
        <rFont val="Calibri"/>
        <family val="2"/>
        <scheme val="minor"/>
      </rPr>
      <t xml:space="preserve"> = n. di slot del turno dove la domanda è &gt; 0.</t>
    </r>
  </si>
  <si>
    <r>
      <t>a</t>
    </r>
    <r>
      <rPr>
        <sz val="11"/>
        <color theme="1"/>
        <rFont val="Calibri"/>
        <family val="2"/>
        <scheme val="minor"/>
      </rPr>
      <t xml:space="preserve"> = di quei b, quanti erano </t>
    </r>
    <r>
      <rPr>
        <b/>
        <sz val="11"/>
        <color theme="1"/>
        <rFont val="Calibri"/>
        <family val="2"/>
        <scheme val="minor"/>
      </rPr>
      <t>ancora scoperti</t>
    </r>
    <r>
      <rPr>
        <sz val="11"/>
        <color theme="1"/>
        <rFont val="Calibri"/>
        <family val="2"/>
        <scheme val="minor"/>
      </rPr>
      <t xml:space="preserve"> al momento dell’assegnazione.</t>
    </r>
  </si>
  <si>
    <r>
      <t>X% = a/b</t>
    </r>
    <r>
      <rPr>
        <sz val="11"/>
        <color theme="1"/>
        <rFont val="Calibri"/>
        <family val="2"/>
        <scheme val="minor"/>
      </rPr>
      <t xml:space="preserve"> → quota del turno che riduce davvero il deficit.</t>
    </r>
  </si>
  <si>
    <t>Colori:</t>
  </si>
  <si>
    <r>
      <t>Verde</t>
    </r>
    <r>
      <rPr>
        <sz val="11"/>
        <color theme="1"/>
        <rFont val="Calibri"/>
        <family val="2"/>
        <scheme val="minor"/>
      </rPr>
      <t>: 100% → tutto il turno cade in deficit (massima utilità).</t>
    </r>
  </si>
  <si>
    <r>
      <t>Arancione</t>
    </r>
    <r>
      <rPr>
        <sz val="11"/>
        <color theme="1"/>
        <rFont val="Calibri"/>
        <family val="2"/>
        <scheme val="minor"/>
      </rPr>
      <t>: 75–99% → molto buono, piccola coda in surplus.</t>
    </r>
  </si>
  <si>
    <r>
      <t>Rosso</t>
    </r>
    <r>
      <rPr>
        <sz val="11"/>
        <color theme="1"/>
        <rFont val="Calibri"/>
        <family val="2"/>
        <scheme val="minor"/>
      </rPr>
      <t>: &lt;75% → utile ma con tratti coperti; da rivedere se ricorrente.</t>
    </r>
  </si>
  <si>
    <t>Dritte rapide (per la varietà mattina)</t>
  </si>
  <si>
    <r>
      <t xml:space="preserve">Aumenta </t>
    </r>
    <r>
      <rPr>
        <b/>
        <sz val="11"/>
        <color theme="1"/>
        <rFont val="Calibri"/>
        <family val="2"/>
        <scheme val="minor"/>
      </rPr>
      <t>BUCKET_PREF_MID</t>
    </r>
    <r>
      <rPr>
        <sz val="11"/>
        <color theme="1"/>
        <rFont val="Calibri"/>
        <family val="2"/>
        <scheme val="minor"/>
      </rPr>
      <t xml:space="preserve"> a ~0.8–1.0.</t>
    </r>
  </si>
  <si>
    <r>
      <t xml:space="preserve">Imposta </t>
    </r>
    <r>
      <rPr>
        <b/>
        <sz val="11"/>
        <color theme="1"/>
        <rFont val="Calibri"/>
        <family val="2"/>
        <scheme val="minor"/>
      </rPr>
      <t>MINUTE_BIAS_15/30/45</t>
    </r>
    <r>
      <rPr>
        <sz val="11"/>
        <color theme="1"/>
        <rFont val="Calibri"/>
        <family val="2"/>
        <scheme val="minor"/>
      </rPr>
      <t xml:space="preserve"> a 10/8/6 (esempio), </t>
    </r>
    <r>
      <rPr>
        <b/>
        <sz val="11"/>
        <color theme="1"/>
        <rFont val="Calibri"/>
        <family val="2"/>
        <scheme val="minor"/>
      </rPr>
      <t>00</t>
    </r>
    <r>
      <rPr>
        <sz val="11"/>
        <color theme="1"/>
        <rFont val="Calibri"/>
        <family val="2"/>
        <scheme val="minor"/>
      </rPr>
      <t xml:space="preserve"> a 0.</t>
    </r>
  </si>
  <si>
    <r>
      <t xml:space="preserve">Porta </t>
    </r>
    <r>
      <rPr>
        <b/>
        <sz val="11"/>
        <color theme="1"/>
        <rFont val="Calibri"/>
        <family val="2"/>
        <scheme val="minor"/>
      </rPr>
      <t>HOUR_SAT_PENALTY</t>
    </r>
    <r>
      <rPr>
        <sz val="11"/>
        <color theme="1"/>
        <rFont val="Calibri"/>
        <family val="2"/>
        <scheme val="minor"/>
      </rPr>
      <t xml:space="preserve"> a 10–14 per non mettere tutti alle 09:00.</t>
    </r>
  </si>
  <si>
    <t>MIN_ASSIGN_MIN</t>
  </si>
  <si>
    <t>MIN_ASSIGN_RATIO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</si>
  <si>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</si>
  <si>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</si>
  <si>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</si>
  <si>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</si>
  <si>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</si>
  <si>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</si>
  <si>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</si>
  <si>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</si>
  <si>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</si>
  <si>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</si>
  <si>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</si>
  <si>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</si>
  <si>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</si>
  <si>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</si>
  <si>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</si>
  <si>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</si>
  <si>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</si>
  <si>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</si>
  <si>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</si>
  <si>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</si>
  <si>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</si>
  <si>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</si>
  <si>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</si>
  <si>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</si>
  <si>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</si>
  <si>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</si>
  <si>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</si>
  <si>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</si>
  <si>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</si>
  <si>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</si>
  <si>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</si>
  <si>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</si>
  <si>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</si>
  <si>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</si>
  <si>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</si>
  <si>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</si>
  <si>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</si>
  <si>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</si>
  <si>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</si>
  <si>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</si>
  <si>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</si>
  <si>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</si>
  <si>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</si>
  <si>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</si>
  <si>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</si>
  <si>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</si>
  <si>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23:45-00:00</t>
  </si>
  <si>
    <t>MAX_STARTS_PER_HOUR</t>
  </si>
  <si>
    <t>MID_SHARE_CAP</t>
  </si>
  <si>
    <t>Lunedì</t>
  </si>
  <si>
    <t>Martedì</t>
  </si>
  <si>
    <t>Mercoledì</t>
  </si>
  <si>
    <t>Giovedì</t>
  </si>
  <si>
    <t>Venerdì</t>
  </si>
  <si>
    <t>Sabato</t>
  </si>
  <si>
    <t>domenica</t>
  </si>
  <si>
    <t>cf1</t>
  </si>
  <si>
    <t>cf4</t>
  </si>
  <si>
    <t>cf5</t>
  </si>
  <si>
    <t>cf7</t>
  </si>
  <si>
    <t>cf9</t>
  </si>
  <si>
    <t>cf10</t>
  </si>
  <si>
    <t>cf11</t>
  </si>
  <si>
    <t>cf12</t>
  </si>
  <si>
    <t>cf15</t>
  </si>
  <si>
    <t>cf16</t>
  </si>
  <si>
    <t>cf17</t>
  </si>
  <si>
    <t>cf18</t>
  </si>
  <si>
    <t>cf19</t>
  </si>
  <si>
    <t>cf20</t>
  </si>
  <si>
    <t>cf22</t>
  </si>
  <si>
    <t>cf24</t>
  </si>
  <si>
    <t>cf25</t>
  </si>
  <si>
    <t>cf27</t>
  </si>
  <si>
    <t>cf28</t>
  </si>
  <si>
    <t>sabato</t>
  </si>
  <si>
    <t>nro di volte in sede</t>
  </si>
  <si>
    <t>Barresi Vincenza</t>
  </si>
  <si>
    <t>Di Benedetto Deborah</t>
  </si>
  <si>
    <t>Ferro Antonella</t>
  </si>
  <si>
    <t>Fradella Piermarco</t>
  </si>
  <si>
    <t>Lo Nardo Antonino</t>
  </si>
  <si>
    <t>Mazzara Antonia</t>
  </si>
  <si>
    <t>Amato Stefania</t>
  </si>
  <si>
    <t>Anastasi Giuseppe</t>
  </si>
  <si>
    <t>Anello Donatella</t>
  </si>
  <si>
    <t>Aronica Martina</t>
  </si>
  <si>
    <t>Bonura Letizia</t>
  </si>
  <si>
    <t>Brugnone Francesco</t>
  </si>
  <si>
    <t>Brusca Loredana</t>
  </si>
  <si>
    <t>Burgio Maria</t>
  </si>
  <si>
    <t>Candia Loredana</t>
  </si>
  <si>
    <t>Caporrimo Maria</t>
  </si>
  <si>
    <t>Cardile Angela</t>
  </si>
  <si>
    <t>Celia Antonella</t>
  </si>
  <si>
    <t>Ciaramitaro Giuseppa</t>
  </si>
  <si>
    <t>Cipriano Giovanna</t>
  </si>
  <si>
    <t>Concialdi Nicasia</t>
  </si>
  <si>
    <t>Correnti Chiara</t>
  </si>
  <si>
    <t>Culcasi Rosalba</t>
  </si>
  <si>
    <t>D'aquila Vincenza</t>
  </si>
  <si>
    <t>Di Miceli Stefania</t>
  </si>
  <si>
    <t>Elia Stefano</t>
  </si>
  <si>
    <t>Esposito Silvana</t>
  </si>
  <si>
    <t>Giacopelli Giulia</t>
  </si>
  <si>
    <t>Gibilaro Letizia</t>
  </si>
  <si>
    <t>La Barca Valentina</t>
  </si>
  <si>
    <t>La Versa Loredana</t>
  </si>
  <si>
    <t>Liberto Maria</t>
  </si>
  <si>
    <t>Lo Buono Claudia</t>
  </si>
  <si>
    <t>Lo Giudice Chiara</t>
  </si>
  <si>
    <t>Lo Iacono Gaspare</t>
  </si>
  <si>
    <t>Lo Presti Florinda</t>
  </si>
  <si>
    <t>Lombardo Gandolfo</t>
  </si>
  <si>
    <t>Madonia Concetta</t>
  </si>
  <si>
    <t>Madonia Felicia</t>
  </si>
  <si>
    <t>Marasa Davide</t>
  </si>
  <si>
    <t>Massei Isabella</t>
  </si>
  <si>
    <t>Modica Adele</t>
  </si>
  <si>
    <t>Monteleone Giuseppe</t>
  </si>
  <si>
    <t>Navarra Annunziata</t>
  </si>
  <si>
    <t>Ortani Caterina</t>
  </si>
  <si>
    <t>Patellaro Antonella</t>
  </si>
  <si>
    <t>Patellaro Rosalia</t>
  </si>
  <si>
    <t>Pennino Rosaria</t>
  </si>
  <si>
    <t>Perriera Fabio</t>
  </si>
  <si>
    <t>Ravena Alessia</t>
  </si>
  <si>
    <t>Rizzo Cristina</t>
  </si>
  <si>
    <t>Romano Patrizia</t>
  </si>
  <si>
    <t>Sampino Salvatore</t>
  </si>
  <si>
    <t>Sausa Antonino</t>
  </si>
  <si>
    <t>Schillaci angela</t>
  </si>
  <si>
    <t>Sciortino Patrizia</t>
  </si>
  <si>
    <t>Siragusa Teresa</t>
  </si>
  <si>
    <t>Ursini Maria Teresa</t>
  </si>
  <si>
    <t>Vaglica Debora</t>
  </si>
  <si>
    <t>Zisa Rosa</t>
  </si>
  <si>
    <t>vicari marco</t>
  </si>
  <si>
    <t>Ianniello Sabrina</t>
  </si>
  <si>
    <t>Manzo Antonio</t>
  </si>
  <si>
    <t>cf29</t>
  </si>
  <si>
    <t>cf30</t>
  </si>
  <si>
    <t>cf31</t>
  </si>
  <si>
    <t>cf32</t>
  </si>
  <si>
    <t>cf33</t>
  </si>
  <si>
    <t>cf34</t>
  </si>
  <si>
    <t>cf35</t>
  </si>
  <si>
    <t>cf36</t>
  </si>
  <si>
    <t>cf37</t>
  </si>
  <si>
    <t>cf38</t>
  </si>
  <si>
    <t>cf39</t>
  </si>
  <si>
    <t>cf40</t>
  </si>
  <si>
    <t>cf41</t>
  </si>
  <si>
    <t>cf42</t>
  </si>
  <si>
    <t>cf43</t>
  </si>
  <si>
    <t>cf44</t>
  </si>
  <si>
    <t>cf45</t>
  </si>
  <si>
    <t>cf46</t>
  </si>
  <si>
    <t>cf47</t>
  </si>
  <si>
    <t>cf48</t>
  </si>
  <si>
    <t>cf49</t>
  </si>
  <si>
    <t>cf50</t>
  </si>
  <si>
    <t>cf51</t>
  </si>
  <si>
    <t>cf52</t>
  </si>
  <si>
    <t>cf53</t>
  </si>
  <si>
    <t>cf54</t>
  </si>
  <si>
    <t>cf55</t>
  </si>
  <si>
    <t>cf56</t>
  </si>
  <si>
    <t>cf57</t>
  </si>
  <si>
    <t>cf58</t>
  </si>
  <si>
    <t>cf59</t>
  </si>
  <si>
    <t>cf60</t>
  </si>
  <si>
    <t>cf61</t>
  </si>
  <si>
    <t>cf62</t>
  </si>
  <si>
    <t>cf63</t>
  </si>
  <si>
    <t>blocco tuno 9:00 -13 lun /ven : sabato e domenica qualsiasi turno</t>
  </si>
  <si>
    <t>blocco turno fascia 9-15</t>
  </si>
  <si>
    <t>blocco turno 9-13 con weekend libero</t>
  </si>
  <si>
    <t xml:space="preserve">blocco turno 9-13  </t>
  </si>
  <si>
    <t>turni opposti con marito cannella</t>
  </si>
  <si>
    <t>no we compreso venerdi (temporaneo fino a maggio 2025)</t>
  </si>
  <si>
    <t>we sempre libero</t>
  </si>
  <si>
    <t>Post_sales</t>
  </si>
  <si>
    <t>blocco turno 9-13</t>
  </si>
  <si>
    <t>09-15 lun dom</t>
  </si>
  <si>
    <t>1gg a 5 ore</t>
  </si>
  <si>
    <t>2 giorni a 6 h e 1 giorno a 4h</t>
  </si>
  <si>
    <t>turni speciali</t>
  </si>
  <si>
    <t>chat_PS_PA_sw</t>
  </si>
  <si>
    <t>FL_PS_PA_sede</t>
  </si>
  <si>
    <t>CHAT_PS_PA_SW</t>
  </si>
  <si>
    <t>FL_PS_PA_sw</t>
  </si>
  <si>
    <t>bo_PS_PA_sw</t>
  </si>
  <si>
    <t>chat_PS_PA_sede</t>
  </si>
  <si>
    <t>CHAT_PS_PA_sw</t>
  </si>
  <si>
    <t>boesca_PS_PA_sede</t>
  </si>
  <si>
    <t>BO_PS_PA_SW</t>
  </si>
  <si>
    <t>chat_PS_PA_SW</t>
  </si>
  <si>
    <t>boesca_PS_PA_sw</t>
  </si>
  <si>
    <t>BO_PS_NA</t>
  </si>
  <si>
    <t>FL_PS_NA</t>
  </si>
  <si>
    <t>etichetta</t>
  </si>
  <si>
    <t>Riposo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</si>
</sst>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[h]:mm:ss;@"/>
    <numFmt numFmtId="165" formatCode="h:mm;@"/>
    <numFmt numFmtId="166" formatCode="[$-F400]h:mm:ss\ AM/PM"/>
  </numFmts>
  <fonts count="13">
    <font>
      <sz val="11"/>
      <color theme="1"/>
      <name val="Calibri"/>
      <family val="2"/>
      <scheme val="minor"/>
    </font>
    <font>
      <b/>
      <sz val="8"/>
      <name val="Tahoma"/>
      <family val="2"/>
    </font>
    <font>
      <sz val="10"/>
      <name val="Arial"/>
      <family val="2"/>
    </font>
    <font>
      <sz val="8"/>
      <name val="Tahom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Arial Unicode MS"/>
    </font>
    <font>
      <i/>
      <sz val="11"/>
      <color theme="1"/>
      <name val="Calibri"/>
      <family val="2"/>
      <scheme val="minor"/>
    </font>
    <font>
      <b/>
      <sz val="10"/>
      <color theme="1"/>
      <name val="Arial Unicode MS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hair">
        <color theme="0"/>
      </left>
      <right style="hair">
        <color theme="0"/>
      </right>
      <top style="hair">
        <color theme="0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</borders>
  <cellStyleXfs count="3">
    <xf numFmtId="0" fontId="0" fillId="0" borderId="0"/>
    <xf numFmtId="0" fontId="2" fillId="0" borderId="0"/>
    <xf numFmtId="43" fontId="12" fillId="0" borderId="0" applyFont="0" applyFill="0" applyBorder="0" applyAlignment="0" applyProtection="0"/>
  </cellStyleXfs>
  <cellXfs count="1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3" fillId="0" borderId="2" xfId="1" applyNumberFormat="1" applyFont="1" applyBorder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0" fontId="0" fillId="0" borderId="0" xfId="0" applyNumberFormat="1"/>
    <xf numFmtId="165" fontId="0" fillId="0" borderId="0" xfId="0" applyNumberFormat="1"/>
    <xf numFmtId="2" fontId="0" fillId="0" borderId="0" xfId="0" applyNumberFormat="1"/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6" fillId="0" borderId="0" xfId="0" applyFont="1" applyAlignment="1">
      <alignment horizontal="left" vertical="center" indent="1"/>
    </xf>
    <xf numFmtId="166" fontId="0" fillId="0" borderId="0" xfId="2" applyNumberFormat="1" applyFont="1" applyAlignment="1">
      <alignment horizontal="center"/>
    </xf>
    <xf numFmtId="20" fontId="0" fillId="3" borderId="0" xfId="0" applyNumberFormat="1" applyFill="1"/>
    <xf numFmtId="165" fontId="0" fillId="3" borderId="0" xfId="0" applyNumberFormat="1" applyFill="1"/>
    <xf numFmtId="0" fontId="0" fillId="0" borderId="0" xfId="0" applyAlignment="1">
      <alignment horizontal="center"/>
    </xf>
  </cellXfs>
  <cellStyles count="3">
    <cellStyle name="Migliaia" xfId="2" builtinId="3"/>
    <cellStyle name="Normale" xfId="0" builtinId="0"/>
    <cellStyle name="Normale_GIUGNO" xfId="1" xr:uid="{14DEA5E3-A79F-4506-BC56-90EF01CA740A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6FC3AD3-1F6A-4CE4-B27E-B5E785B02B5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261938</xdr:colOff>
          <xdr:row>8</xdr:row>
          <xdr:rowOff>109538</xdr:rowOff>
        </xdr:from>
        <xdr:to>
          <xdr:col>12</xdr:col>
          <xdr:colOff>566738</xdr:colOff>
          <xdr:row>16</xdr:row>
          <xdr:rowOff>33338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</xdr:row>
          <xdr:rowOff>0</xdr:rowOff>
        </xdr:from>
        <xdr:to>
          <xdr:col>14</xdr:col>
          <xdr:colOff>204788</xdr:colOff>
          <xdr:row>3</xdr:row>
          <xdr:rowOff>109538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3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yoffice.accenture.com/personal/wiliam_de_salvatore_accenture_com/Documents/Desktop/Matrici%20WIND%20Dealer/ROLLING/Matrice%20Rolling%20new%20WIND%2041.xlsb" TargetMode="External"/><Relationship Id="rId1" Type="http://schemas.openxmlformats.org/officeDocument/2006/relationships/externalLinkPath" Target="/personal/wiliam_de_salvatore_accenture_com/Documents/Desktop/Matrici%20WIND%20Dealer/ROLLING/Matrice%20Rolling%20new%20WIND%2041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RIE TOT"/>
      <sheetName val="PFE2020"/>
      <sheetName val="immacolata&amp;natale&amp;santostefano"/>
      <sheetName val="FERIE ROLLING"/>
      <sheetName val="Legenda Turni"/>
      <sheetName val="Legenda Turni OLD"/>
      <sheetName val="LastWeek"/>
      <sheetName val="Foglio1"/>
      <sheetName val="Festività 2019"/>
      <sheetName val="CheckWK12"/>
      <sheetName val="Giro Turni"/>
      <sheetName val="MAL FIBRA"/>
      <sheetName val="MAL CARING"/>
      <sheetName val="MAL Chat"/>
      <sheetName val="MATRICE"/>
      <sheetName val="sera cmb"/>
      <sheetName val="MAL MVNO"/>
      <sheetName val="MAL WA"/>
      <sheetName val="Foglio2"/>
      <sheetName val="Fcst&amp;Pma"/>
      <sheetName val="CARICA TURNI"/>
      <sheetName val="Turni kimeme"/>
      <sheetName val="Foglio Lavoro"/>
      <sheetName val="Foglio3"/>
      <sheetName val="Foglio di Servizio"/>
      <sheetName val="Slot Pause"/>
      <sheetName val="BlackBox"/>
      <sheetName val="Occupanc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M1">
            <v>10</v>
          </cell>
        </row>
        <row r="4">
          <cell r="AM4" t="str">
            <v>Operatore</v>
          </cell>
        </row>
        <row r="5">
          <cell r="AM5" t="str">
            <v>Barresi Vincenza</v>
          </cell>
          <cell r="SR5" t="str">
            <v>libero</v>
          </cell>
        </row>
        <row r="6">
          <cell r="AM6" t="str">
            <v>Condello Danilo</v>
          </cell>
          <cell r="SR6" t="str">
            <v>libero</v>
          </cell>
        </row>
        <row r="7">
          <cell r="AM7" t="str">
            <v>D'alessandro Giovanni</v>
          </cell>
          <cell r="SR7" t="str">
            <v>libero</v>
          </cell>
        </row>
        <row r="8">
          <cell r="AM8" t="str">
            <v>Di Benedetto Deborah</v>
          </cell>
          <cell r="SR8" t="str">
            <v>libero</v>
          </cell>
        </row>
        <row r="9">
          <cell r="AM9" t="str">
            <v>Ferranti Margherita</v>
          </cell>
          <cell r="SR9" t="str">
            <v>libero</v>
          </cell>
        </row>
        <row r="10">
          <cell r="AM10" t="str">
            <v>Ferro Antonella</v>
          </cell>
          <cell r="SR10" t="str">
            <v>libero</v>
          </cell>
        </row>
        <row r="11">
          <cell r="AM11" t="str">
            <v>Fradella Piermarco</v>
          </cell>
          <cell r="SR11" t="str">
            <v>libero</v>
          </cell>
        </row>
        <row r="12">
          <cell r="AM12" t="str">
            <v>Inserra Maria Rita</v>
          </cell>
          <cell r="SR12" t="str">
            <v>libero</v>
          </cell>
        </row>
        <row r="13">
          <cell r="AM13" t="str">
            <v>Lisciandrello Ignazio</v>
          </cell>
          <cell r="SR13" t="str">
            <v>libero</v>
          </cell>
        </row>
        <row r="14">
          <cell r="AM14" t="str">
            <v>Lo Nardo Antonino</v>
          </cell>
          <cell r="SR14" t="str">
            <v>libero</v>
          </cell>
        </row>
        <row r="15">
          <cell r="AM15" t="str">
            <v>Mazzara Antonia</v>
          </cell>
          <cell r="SR15" t="str">
            <v>libero</v>
          </cell>
        </row>
        <row r="16">
          <cell r="AM16" t="str">
            <v>Petta Vanessa</v>
          </cell>
          <cell r="SR16" t="str">
            <v>libero</v>
          </cell>
        </row>
        <row r="17">
          <cell r="AM17" t="str">
            <v>Sole Valentina</v>
          </cell>
          <cell r="SR17" t="str">
            <v>libero</v>
          </cell>
        </row>
        <row r="18">
          <cell r="AM18" t="str">
            <v>Albanese Carmelino</v>
          </cell>
          <cell r="SR18" t="str">
            <v>libero</v>
          </cell>
        </row>
        <row r="19">
          <cell r="AM19" t="str">
            <v>Amato Stefania</v>
          </cell>
          <cell r="SR19" t="str">
            <v>libero</v>
          </cell>
        </row>
        <row r="20">
          <cell r="AM20" t="str">
            <v>Anastasi Giuseppe</v>
          </cell>
          <cell r="SR20" t="str">
            <v>libero</v>
          </cell>
        </row>
        <row r="21">
          <cell r="AM21" t="str">
            <v>Anello Donatella</v>
          </cell>
          <cell r="SR21" t="str">
            <v>libero</v>
          </cell>
        </row>
        <row r="22">
          <cell r="AM22" t="str">
            <v>Arnone Carmelina</v>
          </cell>
          <cell r="SR22" t="str">
            <v>libero</v>
          </cell>
        </row>
        <row r="23">
          <cell r="AM23" t="str">
            <v>Aronica Martina</v>
          </cell>
          <cell r="SR23" t="str">
            <v>libero</v>
          </cell>
        </row>
        <row r="24">
          <cell r="AM24" t="str">
            <v>Bonura Letizia</v>
          </cell>
          <cell r="SR24" t="str">
            <v>libero</v>
          </cell>
        </row>
        <row r="25">
          <cell r="AM25" t="str">
            <v>Borsellino Antonino</v>
          </cell>
          <cell r="SR25" t="str">
            <v>libero</v>
          </cell>
        </row>
        <row r="26">
          <cell r="AM26" t="str">
            <v>Brugnone Francesco</v>
          </cell>
          <cell r="SR26" t="str">
            <v>libero</v>
          </cell>
        </row>
        <row r="27">
          <cell r="AM27" t="str">
            <v>Brusca Loredana</v>
          </cell>
          <cell r="SR27" t="str">
            <v>libero</v>
          </cell>
        </row>
        <row r="28">
          <cell r="AM28" t="str">
            <v>Burgio Maria</v>
          </cell>
          <cell r="SR28" t="str">
            <v>libero</v>
          </cell>
        </row>
        <row r="29">
          <cell r="AM29" t="str">
            <v>Burgio Rosa</v>
          </cell>
          <cell r="SR29" t="str">
            <v>libero</v>
          </cell>
        </row>
        <row r="30">
          <cell r="AM30" t="str">
            <v>Busalacchi Fortunata</v>
          </cell>
          <cell r="SR30" t="str">
            <v>libero</v>
          </cell>
        </row>
        <row r="31">
          <cell r="AM31" t="str">
            <v>Campo Cristina</v>
          </cell>
          <cell r="SR31" t="str">
            <v>libero</v>
          </cell>
        </row>
        <row r="32">
          <cell r="AM32" t="str">
            <v>Campo Maria</v>
          </cell>
          <cell r="SR32" t="str">
            <v>libero</v>
          </cell>
        </row>
        <row r="33">
          <cell r="AM33" t="str">
            <v>Candia Loredana</v>
          </cell>
          <cell r="SR33" t="str">
            <v>libero</v>
          </cell>
        </row>
        <row r="34">
          <cell r="AM34" t="str">
            <v>Cannella Davide</v>
          </cell>
          <cell r="SR34" t="str">
            <v>libero</v>
          </cell>
        </row>
        <row r="35">
          <cell r="AM35" t="str">
            <v>Caporrimo Maria</v>
          </cell>
          <cell r="SR35" t="str">
            <v>libero</v>
          </cell>
        </row>
        <row r="36">
          <cell r="AM36" t="str">
            <v>Cappuzzello Elena</v>
          </cell>
          <cell r="SR36" t="str">
            <v>libero</v>
          </cell>
        </row>
        <row r="37">
          <cell r="AM37" t="str">
            <v>Cardile Angela</v>
          </cell>
          <cell r="SR37" t="str">
            <v>libero</v>
          </cell>
        </row>
        <row r="38">
          <cell r="AM38" t="str">
            <v>Celia Antonella</v>
          </cell>
          <cell r="SR38" t="str">
            <v>libero</v>
          </cell>
        </row>
        <row r="39">
          <cell r="AM39" t="str">
            <v>Ciaramitaro Giuseppa</v>
          </cell>
          <cell r="SR39" t="str">
            <v>libero</v>
          </cell>
        </row>
        <row r="40">
          <cell r="AM40" t="str">
            <v>Cipolla Giuseppe</v>
          </cell>
          <cell r="SR40" t="str">
            <v>libero</v>
          </cell>
        </row>
        <row r="41">
          <cell r="AM41" t="str">
            <v>Cipriano Giovanna</v>
          </cell>
          <cell r="SR41" t="str">
            <v>libero</v>
          </cell>
        </row>
        <row r="42">
          <cell r="AM42" t="str">
            <v>Concialdi Nicasia</v>
          </cell>
          <cell r="SR42" t="str">
            <v>libero</v>
          </cell>
        </row>
        <row r="43">
          <cell r="AM43" t="str">
            <v>Consentino Dario</v>
          </cell>
          <cell r="SR43" t="str">
            <v>libero</v>
          </cell>
        </row>
        <row r="44">
          <cell r="AM44" t="str">
            <v>Correnti Chiara</v>
          </cell>
          <cell r="SR44" t="str">
            <v>libero</v>
          </cell>
        </row>
        <row r="45">
          <cell r="AM45" t="str">
            <v>Culcasi Rosalba</v>
          </cell>
          <cell r="SR45" t="str">
            <v>libero</v>
          </cell>
        </row>
        <row r="46">
          <cell r="AM46" t="str">
            <v>D'acquisto Armida</v>
          </cell>
          <cell r="SR46" t="str">
            <v>libero</v>
          </cell>
        </row>
        <row r="47">
          <cell r="AM47" t="str">
            <v>D'acquisto Rosa</v>
          </cell>
          <cell r="SR47" t="str">
            <v>libero</v>
          </cell>
        </row>
        <row r="48">
          <cell r="AM48" t="str">
            <v>D'aquila Vincenza</v>
          </cell>
          <cell r="SR48" t="str">
            <v>libero</v>
          </cell>
        </row>
        <row r="49">
          <cell r="AM49" t="str">
            <v>Di Cecco Beatrice</v>
          </cell>
          <cell r="SR49" t="str">
            <v>libero</v>
          </cell>
        </row>
        <row r="50">
          <cell r="AM50" t="str">
            <v>Di Miceli Stefania</v>
          </cell>
          <cell r="SR50" t="str">
            <v>libero</v>
          </cell>
        </row>
        <row r="51">
          <cell r="AM51" t="str">
            <v>Donato Biagia</v>
          </cell>
          <cell r="SR51" t="str">
            <v>libero</v>
          </cell>
        </row>
        <row r="52">
          <cell r="AM52" t="str">
            <v>Elia Stefano</v>
          </cell>
          <cell r="SR52" t="str">
            <v>libero</v>
          </cell>
        </row>
        <row r="53">
          <cell r="AM53" t="str">
            <v>Esposito Silvana</v>
          </cell>
          <cell r="SR53" t="str">
            <v>libero</v>
          </cell>
        </row>
        <row r="54">
          <cell r="AM54" t="str">
            <v>Federico Filippo</v>
          </cell>
          <cell r="SR54" t="str">
            <v>libero</v>
          </cell>
        </row>
        <row r="55">
          <cell r="AM55" t="str">
            <v>Finzi Bibiana</v>
          </cell>
          <cell r="SR55" t="str">
            <v>libero</v>
          </cell>
        </row>
        <row r="56">
          <cell r="AM56" t="str">
            <v>Gambino Giuliana</v>
          </cell>
          <cell r="SR56" t="str">
            <v>libero</v>
          </cell>
        </row>
        <row r="57">
          <cell r="AM57" t="str">
            <v>Ganci Elvira</v>
          </cell>
          <cell r="SR57" t="str">
            <v>libero</v>
          </cell>
        </row>
        <row r="58">
          <cell r="AM58" t="str">
            <v>Giacopelli Giulia</v>
          </cell>
          <cell r="SR58" t="str">
            <v>libero</v>
          </cell>
        </row>
        <row r="59">
          <cell r="AM59" t="str">
            <v>Gibilaro Letizia</v>
          </cell>
          <cell r="SR59" t="str">
            <v>libero</v>
          </cell>
        </row>
        <row r="60">
          <cell r="AM60" t="str">
            <v>Greco Loredana</v>
          </cell>
          <cell r="SR60" t="str">
            <v>libero</v>
          </cell>
        </row>
        <row r="61">
          <cell r="AM61" t="str">
            <v>Gullo Patrizia</v>
          </cell>
          <cell r="SR61" t="str">
            <v>libero</v>
          </cell>
        </row>
        <row r="62">
          <cell r="AM62" t="str">
            <v>Imparato Emanuele</v>
          </cell>
          <cell r="SR62" t="str">
            <v>libero</v>
          </cell>
        </row>
        <row r="63">
          <cell r="AM63" t="str">
            <v>La Barca Valentina</v>
          </cell>
          <cell r="SR63" t="str">
            <v>libero</v>
          </cell>
        </row>
        <row r="64">
          <cell r="AM64" t="str">
            <v>La Versa Loredana</v>
          </cell>
          <cell r="SR64" t="str">
            <v>libero</v>
          </cell>
        </row>
        <row r="65">
          <cell r="AM65" t="str">
            <v>Liberto Maria</v>
          </cell>
          <cell r="SR65" t="str">
            <v>libero</v>
          </cell>
        </row>
        <row r="66">
          <cell r="AM66" t="str">
            <v>Librino Rosa Maria</v>
          </cell>
          <cell r="SR66" t="str">
            <v>libero</v>
          </cell>
        </row>
        <row r="67">
          <cell r="AM67" t="str">
            <v>Lo Buono Claudia</v>
          </cell>
          <cell r="SR67" t="str">
            <v>libero</v>
          </cell>
        </row>
        <row r="68">
          <cell r="AM68" t="str">
            <v>Lo Casto Anna</v>
          </cell>
          <cell r="SR68" t="str">
            <v>libero</v>
          </cell>
        </row>
        <row r="69">
          <cell r="AM69" t="str">
            <v>Lo Giudice Chiara</v>
          </cell>
          <cell r="SR69" t="str">
            <v>libero</v>
          </cell>
        </row>
        <row r="70">
          <cell r="AM70" t="str">
            <v>Lo Iacono Gaspare</v>
          </cell>
          <cell r="SR70" t="str">
            <v>libero</v>
          </cell>
        </row>
        <row r="71">
          <cell r="AM71" t="str">
            <v>Lo Presti Florinda</v>
          </cell>
          <cell r="SR71" t="str">
            <v>libero</v>
          </cell>
        </row>
        <row r="72">
          <cell r="AM72" t="str">
            <v>Lombardo Gandolfo</v>
          </cell>
          <cell r="SR72" t="str">
            <v>libero</v>
          </cell>
        </row>
        <row r="73">
          <cell r="AM73" t="str">
            <v>Madonia Concetta</v>
          </cell>
          <cell r="SR73" t="str">
            <v>libero</v>
          </cell>
        </row>
        <row r="74">
          <cell r="AM74" t="str">
            <v>Madonia Felicia</v>
          </cell>
          <cell r="SR74" t="str">
            <v>libero</v>
          </cell>
        </row>
        <row r="75">
          <cell r="AM75" t="str">
            <v>Maggiore Vincenza</v>
          </cell>
          <cell r="SR75" t="str">
            <v>libero</v>
          </cell>
        </row>
        <row r="76">
          <cell r="AM76" t="str">
            <v>Mancuso Vito</v>
          </cell>
          <cell r="SR76" t="str">
            <v>libero</v>
          </cell>
        </row>
        <row r="77">
          <cell r="AM77" t="str">
            <v>Marasa Davide</v>
          </cell>
          <cell r="SR77" t="str">
            <v>libero</v>
          </cell>
        </row>
        <row r="78">
          <cell r="AM78" t="str">
            <v>Marino Francesco</v>
          </cell>
          <cell r="SR78" t="str">
            <v>libero</v>
          </cell>
        </row>
        <row r="79">
          <cell r="AM79" t="str">
            <v>Massei Isabella</v>
          </cell>
          <cell r="SR79" t="str">
            <v>libero</v>
          </cell>
        </row>
        <row r="80">
          <cell r="AM80" t="str">
            <v>Mineo Graziella</v>
          </cell>
          <cell r="SR80" t="str">
            <v>libero</v>
          </cell>
        </row>
        <row r="81">
          <cell r="AM81" t="str">
            <v>Modica Adele</v>
          </cell>
          <cell r="SR81" t="str">
            <v>libero</v>
          </cell>
        </row>
        <row r="82">
          <cell r="AM82" t="str">
            <v>Monteleone Giuseppe</v>
          </cell>
          <cell r="SR82" t="str">
            <v>libero</v>
          </cell>
        </row>
        <row r="83">
          <cell r="AM83" t="str">
            <v>Navarra Annunziata</v>
          </cell>
          <cell r="SR83" t="str">
            <v>libero</v>
          </cell>
        </row>
        <row r="84">
          <cell r="AM84" t="str">
            <v>Ortani Caterina</v>
          </cell>
          <cell r="SR84" t="str">
            <v>libero</v>
          </cell>
        </row>
        <row r="85">
          <cell r="AM85" t="str">
            <v>Patellaro Antonella</v>
          </cell>
          <cell r="SR85" t="str">
            <v>libero</v>
          </cell>
        </row>
        <row r="86">
          <cell r="AM86" t="str">
            <v>Patellaro Rosalia</v>
          </cell>
          <cell r="SR86" t="str">
            <v>libero</v>
          </cell>
        </row>
        <row r="87">
          <cell r="AM87" t="str">
            <v>Pennino Rosaria</v>
          </cell>
          <cell r="SR87" t="str">
            <v>libero</v>
          </cell>
        </row>
        <row r="88">
          <cell r="AM88" t="str">
            <v>Perriera Fabio</v>
          </cell>
          <cell r="SR88" t="str">
            <v>libero</v>
          </cell>
        </row>
        <row r="89">
          <cell r="AM89" t="str">
            <v>Ravena Alessia</v>
          </cell>
          <cell r="SR89" t="str">
            <v>libero</v>
          </cell>
        </row>
        <row r="90">
          <cell r="AM90" t="str">
            <v>Renna Barbara</v>
          </cell>
          <cell r="SR90" t="str">
            <v>libero</v>
          </cell>
        </row>
        <row r="91">
          <cell r="AM91" t="str">
            <v>Rizzo Cristina</v>
          </cell>
          <cell r="SR91" t="str">
            <v>libero</v>
          </cell>
        </row>
        <row r="92">
          <cell r="AM92" t="str">
            <v>Romano Patrizia</v>
          </cell>
          <cell r="SR92" t="str">
            <v>libero</v>
          </cell>
        </row>
        <row r="93">
          <cell r="AM93" t="str">
            <v>Rossi Carlo</v>
          </cell>
          <cell r="SR93" t="str">
            <v>libero</v>
          </cell>
        </row>
        <row r="94">
          <cell r="AM94" t="str">
            <v>Russo Grazia</v>
          </cell>
          <cell r="SR94" t="str">
            <v>libero</v>
          </cell>
        </row>
        <row r="95">
          <cell r="AM95" t="str">
            <v>Sampino Salvatore</v>
          </cell>
          <cell r="SR95" t="str">
            <v>libero</v>
          </cell>
        </row>
        <row r="96">
          <cell r="AM96" t="str">
            <v>Sausa Antonino</v>
          </cell>
          <cell r="SR96" t="str">
            <v>libero</v>
          </cell>
        </row>
        <row r="97">
          <cell r="AM97" t="str">
            <v>Schillaci angela</v>
          </cell>
          <cell r="SR97" t="str">
            <v>libero</v>
          </cell>
        </row>
        <row r="98">
          <cell r="AM98" t="str">
            <v>Sciortino Patrizia</v>
          </cell>
          <cell r="SR98" t="str">
            <v>libero</v>
          </cell>
        </row>
        <row r="99">
          <cell r="AM99" t="str">
            <v>Siragusa Teresa</v>
          </cell>
          <cell r="SR99" t="str">
            <v>libero</v>
          </cell>
        </row>
        <row r="100">
          <cell r="AM100" t="str">
            <v>Trapani Silvia</v>
          </cell>
          <cell r="SR100" t="str">
            <v>libero</v>
          </cell>
        </row>
        <row r="101">
          <cell r="AM101" t="str">
            <v>Ursini Maria Teresa</v>
          </cell>
          <cell r="SR101" t="str">
            <v>libero</v>
          </cell>
        </row>
        <row r="102">
          <cell r="AM102" t="str">
            <v>Vaghetto Marianna</v>
          </cell>
          <cell r="SR102" t="str">
            <v>libero</v>
          </cell>
        </row>
        <row r="103">
          <cell r="AM103" t="str">
            <v>Vaglica Debora</v>
          </cell>
          <cell r="SR103" t="str">
            <v>libero</v>
          </cell>
        </row>
        <row r="104">
          <cell r="AM104" t="str">
            <v>Velardi Giulia</v>
          </cell>
          <cell r="SR104" t="str">
            <v>libero</v>
          </cell>
        </row>
        <row r="105">
          <cell r="AM105" t="str">
            <v>Zisa Rosa</v>
          </cell>
          <cell r="SR105" t="str">
            <v>libero</v>
          </cell>
        </row>
        <row r="106">
          <cell r="AM106" t="str">
            <v>vicari marco</v>
          </cell>
          <cell r="SR106" t="str">
            <v>libero</v>
          </cell>
        </row>
        <row r="107">
          <cell r="AM107" t="str">
            <v>FACCHINI ELISA</v>
          </cell>
          <cell r="SR107" t="str">
            <v>libero</v>
          </cell>
        </row>
        <row r="108">
          <cell r="AM108" t="str">
            <v>MARALFA TIBERIA CLAUDIA</v>
          </cell>
          <cell r="SR108" t="str">
            <v>libero</v>
          </cell>
        </row>
        <row r="109">
          <cell r="AM109" t="str">
            <v>AZZOLLINI ELISABETTA BRUNA</v>
          </cell>
          <cell r="SR109" t="str">
            <v>libero</v>
          </cell>
        </row>
        <row r="110">
          <cell r="AM110" t="str">
            <v>ERCOLE ALESSIA</v>
          </cell>
          <cell r="SR110" t="str">
            <v>libero</v>
          </cell>
        </row>
        <row r="111">
          <cell r="AM111" t="str">
            <v>SCAGLIONE BARTOLO</v>
          </cell>
          <cell r="SR111" t="str">
            <v>libero</v>
          </cell>
        </row>
        <row r="112">
          <cell r="AM112" t="str">
            <v>DI TERLIZZI VALENTINA</v>
          </cell>
          <cell r="SR112" t="str">
            <v>libero</v>
          </cell>
        </row>
        <row r="113">
          <cell r="AM113" t="str">
            <v>ANTONINO GIOVANNI</v>
          </cell>
          <cell r="SR113" t="str">
            <v>libero</v>
          </cell>
        </row>
        <row r="114">
          <cell r="AM114" t="str">
            <v>TRIGIANTE DOMENICA</v>
          </cell>
          <cell r="SR114" t="str">
            <v>libero</v>
          </cell>
        </row>
        <row r="115">
          <cell r="AM115" t="str">
            <v>SPACCAVENTO ANNA</v>
          </cell>
          <cell r="SR115" t="str">
            <v>libero</v>
          </cell>
        </row>
        <row r="116">
          <cell r="AM116" t="str">
            <v>LAFRANCESCHINA ANTONELLA</v>
          </cell>
          <cell r="SR116" t="str">
            <v>libero</v>
          </cell>
        </row>
        <row r="117">
          <cell r="AM117" t="str">
            <v>SPACCAVENTO LEO CLAUDIO</v>
          </cell>
          <cell r="SR117" t="str">
            <v>libero</v>
          </cell>
        </row>
        <row r="118">
          <cell r="AM118" t="str">
            <v>DE CANDIA ANTONIO</v>
          </cell>
          <cell r="SR118" t="str">
            <v>libero</v>
          </cell>
        </row>
        <row r="119">
          <cell r="AM119" t="str">
            <v>MASTRODONATO MARIA LUCREZIA</v>
          </cell>
          <cell r="SR119" t="str">
            <v>libero</v>
          </cell>
        </row>
        <row r="120">
          <cell r="AM120" t="str">
            <v>Ianniello Sabrina</v>
          </cell>
          <cell r="SR120" t="str">
            <v>libero</v>
          </cell>
        </row>
        <row r="121">
          <cell r="AM121" t="str">
            <v>Manzo Antonio</v>
          </cell>
          <cell r="SR121" t="str">
            <v>libero</v>
          </cell>
        </row>
        <row r="122">
          <cell r="AM122" t="str">
            <v>Cirillo Rodolfo</v>
          </cell>
          <cell r="SR122" t="str">
            <v>libero</v>
          </cell>
        </row>
        <row r="123">
          <cell r="AM123" t="str">
            <v>Pilato Simone</v>
          </cell>
          <cell r="SR123" t="str">
            <v>libero</v>
          </cell>
        </row>
        <row r="124">
          <cell r="AM124" t="str">
            <v>DI Liddo Sabrina</v>
          </cell>
          <cell r="SR124" t="str">
            <v>we</v>
          </cell>
        </row>
        <row r="125">
          <cell r="AM125" t="str">
            <v>CONVERTINI CLAUDIO</v>
          </cell>
          <cell r="SR125" t="str">
            <v>libero</v>
          </cell>
        </row>
        <row r="126">
          <cell r="AM126" t="str">
            <v>Buontempo  Doriana</v>
          </cell>
          <cell r="SR126" t="str">
            <v>libero</v>
          </cell>
        </row>
        <row r="127">
          <cell r="AM127" t="str">
            <v xml:space="preserve">Massari Angela </v>
          </cell>
          <cell r="SR127" t="str">
            <v>libero</v>
          </cell>
        </row>
        <row r="128">
          <cell r="AM128" t="str">
            <v>Ventura Jasmine Ilaria</v>
          </cell>
          <cell r="SR128" t="str">
            <v>libero</v>
          </cell>
        </row>
        <row r="129">
          <cell r="AM129" t="str">
            <v>Secondi  Jessica</v>
          </cell>
          <cell r="SR129" t="str">
            <v>libero</v>
          </cell>
        </row>
        <row r="130">
          <cell r="AM130" t="str">
            <v>Calarca Maria Vera</v>
          </cell>
          <cell r="SR130" t="str">
            <v>we</v>
          </cell>
        </row>
        <row r="131">
          <cell r="AM131" t="str">
            <v>Palazzo Caterina</v>
          </cell>
          <cell r="SR131" t="str">
            <v>we</v>
          </cell>
        </row>
        <row r="132">
          <cell r="AM132"/>
          <cell r="SR132" t="str">
            <v>we</v>
          </cell>
        </row>
        <row r="133">
          <cell r="AM133"/>
          <cell r="SR133" t="str">
            <v>we</v>
          </cell>
        </row>
        <row r="134">
          <cell r="AM134"/>
          <cell r="SR134" t="str">
            <v>we</v>
          </cell>
        </row>
        <row r="135">
          <cell r="AM135"/>
          <cell r="SR135" t="str">
            <v>we</v>
          </cell>
        </row>
        <row r="136">
          <cell r="AM136"/>
          <cell r="SR136" t="str">
            <v>we</v>
          </cell>
        </row>
        <row r="137">
          <cell r="AM137"/>
          <cell r="SR137" t="str">
            <v>we</v>
          </cell>
        </row>
        <row r="138">
          <cell r="AM138"/>
          <cell r="SR138" t="str">
            <v>we</v>
          </cell>
        </row>
        <row r="139">
          <cell r="AM139"/>
          <cell r="SR139" t="str">
            <v>we</v>
          </cell>
        </row>
        <row r="140">
          <cell r="AM140"/>
          <cell r="SR140" t="str">
            <v>we</v>
          </cell>
        </row>
        <row r="141">
          <cell r="AM141"/>
          <cell r="SR141" t="str">
            <v>we</v>
          </cell>
        </row>
        <row r="142">
          <cell r="AM142"/>
          <cell r="SR142" t="str">
            <v>we</v>
          </cell>
        </row>
        <row r="143">
          <cell r="AM143"/>
          <cell r="SR143" t="str">
            <v>we</v>
          </cell>
        </row>
        <row r="144">
          <cell r="AM144"/>
          <cell r="SR144" t="str">
            <v>we</v>
          </cell>
        </row>
        <row r="145">
          <cell r="AM145"/>
          <cell r="SR145" t="str">
            <v>we</v>
          </cell>
        </row>
        <row r="146">
          <cell r="AM146"/>
          <cell r="SR146" t="str">
            <v>we</v>
          </cell>
        </row>
        <row r="147">
          <cell r="AM147"/>
          <cell r="SR147" t="str">
            <v>we</v>
          </cell>
        </row>
        <row r="148">
          <cell r="AM148"/>
          <cell r="SR148" t="str">
            <v>we</v>
          </cell>
        </row>
        <row r="149">
          <cell r="AM149"/>
          <cell r="SR149" t="str">
            <v>we</v>
          </cell>
        </row>
        <row r="150">
          <cell r="AM150"/>
          <cell r="SR150" t="str">
            <v>we</v>
          </cell>
        </row>
        <row r="151">
          <cell r="AM151"/>
          <cell r="SR151" t="str">
            <v>we</v>
          </cell>
        </row>
        <row r="152">
          <cell r="AM152"/>
          <cell r="SR152" t="str">
            <v>we</v>
          </cell>
        </row>
        <row r="153">
          <cell r="AM153"/>
          <cell r="SR153" t="str">
            <v>we</v>
          </cell>
        </row>
        <row r="154">
          <cell r="AM154"/>
          <cell r="SR154" t="str">
            <v>we</v>
          </cell>
        </row>
        <row r="155">
          <cell r="AM155"/>
          <cell r="SR155" t="str">
            <v>we</v>
          </cell>
        </row>
        <row r="156">
          <cell r="AM156"/>
          <cell r="SR156" t="str">
            <v>we</v>
          </cell>
        </row>
        <row r="157">
          <cell r="AM157"/>
          <cell r="SR157" t="str">
            <v>we</v>
          </cell>
        </row>
        <row r="158">
          <cell r="AM158"/>
          <cell r="SR158" t="str">
            <v>we</v>
          </cell>
        </row>
        <row r="159">
          <cell r="AM159"/>
          <cell r="SR159" t="str">
            <v>we</v>
          </cell>
        </row>
        <row r="160">
          <cell r="AM160"/>
          <cell r="SR160" t="str">
            <v>we</v>
          </cell>
        </row>
        <row r="161">
          <cell r="AM161"/>
        </row>
        <row r="162">
          <cell r="AM162"/>
        </row>
        <row r="163">
          <cell r="AM163"/>
        </row>
        <row r="164">
          <cell r="AM164"/>
        </row>
        <row r="165">
          <cell r="AM165"/>
        </row>
        <row r="166">
          <cell r="AM166"/>
        </row>
        <row r="167">
          <cell r="AM167"/>
        </row>
        <row r="168">
          <cell r="AM168"/>
        </row>
        <row r="169">
          <cell r="AM169"/>
        </row>
        <row r="170">
          <cell r="AM170"/>
        </row>
        <row r="171">
          <cell r="AM171"/>
        </row>
        <row r="172">
          <cell r="AM172"/>
        </row>
        <row r="173">
          <cell r="AM173"/>
        </row>
        <row r="174">
          <cell r="AM174"/>
        </row>
        <row r="175">
          <cell r="AM175"/>
        </row>
        <row r="176">
          <cell r="AM176"/>
        </row>
        <row r="210">
          <cell r="AM210"/>
        </row>
        <row r="211">
          <cell r="AM211"/>
        </row>
        <row r="212">
          <cell r="AM212"/>
        </row>
        <row r="214">
          <cell r="AM214"/>
        </row>
        <row r="215">
          <cell r="AM215"/>
        </row>
        <row r="216">
          <cell r="AM216"/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7CD14-A1B3-4CED-B909-020808012783}">
  <sheetPr codeName="Foglio12"/>
  <dimension ref="A1:J96"/>
  <sheetViews>
    <sheetView tabSelected="1" topLeftCell="G1" zoomScale="70" zoomScaleNormal="70" workbookViewId="0">
      <selection activeCell="AE19" sqref="AE19"/>
    </sheetView>
  </sheetViews>
  <sheetFormatPr defaultRowHeight="14.25"/>
  <cols>
    <col min="1" max="1" width="11.796875" customWidth="1"/>
    <col min="2" max="6" width="9.06640625" style="4" customWidth="1"/>
    <col min="7" max="8" width="9.06640625" style="4"/>
  </cols>
  <sheetData>
    <row r="1" spans="1:10">
      <c r="A1" t="s">
        <v>48</v>
      </c>
      <c r="B1" s="4" t="s">
        <v>217</v>
      </c>
      <c r="C1" s="4" t="s">
        <v>218</v>
      </c>
      <c r="D1" s="4" t="s">
        <v>219</v>
      </c>
      <c r="E1" s="4" t="s">
        <v>220</v>
      </c>
      <c r="F1" s="4" t="s">
        <v>221</v>
      </c>
      <c r="G1" s="4" t="s">
        <v>222</v>
      </c>
      <c r="H1" s="4" t="s">
        <v>223</v>
      </c>
    </row>
    <row r="2" spans="1:10">
      <c r="A2" t="s">
        <v>357</v>
      </c>
      <c r="B2" s="5">
        <v>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6"/>
      <c r="J2" s="6"/>
    </row>
    <row r="3" spans="1:10">
      <c r="A3" t="s">
        <v>358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6"/>
      <c r="J3" s="6"/>
    </row>
    <row r="4" spans="1:10">
      <c r="A4" t="s">
        <v>359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6"/>
      <c r="J4" s="6"/>
    </row>
    <row r="5" spans="1:10">
      <c r="A5" t="s">
        <v>360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6"/>
      <c r="J5" s="6"/>
    </row>
    <row r="6" spans="1:10">
      <c r="A6" t="s">
        <v>361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6"/>
      <c r="J6" s="6"/>
    </row>
    <row r="7" spans="1:10">
      <c r="A7" t="s">
        <v>362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6"/>
      <c r="J7" s="6"/>
    </row>
    <row r="8" spans="1:10">
      <c r="A8" t="s">
        <v>363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6"/>
      <c r="J8" s="6"/>
    </row>
    <row r="9" spans="1:10">
      <c r="A9" t="s">
        <v>364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6"/>
      <c r="J9" s="6"/>
    </row>
    <row r="10" spans="1:10">
      <c r="A10" t="s">
        <v>365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6"/>
      <c r="J10" s="6"/>
    </row>
    <row r="11" spans="1:10">
      <c r="A11" t="s">
        <v>366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6"/>
      <c r="J11" s="6"/>
    </row>
    <row r="12" spans="1:10">
      <c r="A12" t="s">
        <v>367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6"/>
      <c r="J12" s="6"/>
    </row>
    <row r="13" spans="1:10">
      <c r="A13" t="s">
        <v>368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6"/>
      <c r="J13" s="6"/>
    </row>
    <row r="14" spans="1:10">
      <c r="A14" t="s">
        <v>369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6"/>
      <c r="J14" s="6"/>
    </row>
    <row r="15" spans="1:10">
      <c r="A15" t="s">
        <v>370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6"/>
      <c r="J15" s="6"/>
    </row>
    <row r="16" spans="1:10">
      <c r="A16" t="s">
        <v>371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6"/>
      <c r="J16" s="6"/>
    </row>
    <row r="17" spans="1:10">
      <c r="A17" t="s">
        <v>372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6"/>
      <c r="J17" s="6"/>
    </row>
    <row r="18" spans="1:10">
      <c r="A18" t="s">
        <v>373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6"/>
      <c r="J18" s="6"/>
    </row>
    <row r="19" spans="1:10">
      <c r="A19" t="s">
        <v>374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6"/>
      <c r="J19" s="6"/>
    </row>
    <row r="20" spans="1:10">
      <c r="A20" t="s">
        <v>375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6"/>
      <c r="J20" s="6"/>
    </row>
    <row r="21" spans="1:10">
      <c r="A21" t="s">
        <v>376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6"/>
      <c r="J21" s="6"/>
    </row>
    <row r="22" spans="1:10">
      <c r="A22" t="s">
        <v>377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6"/>
      <c r="J22" s="6"/>
    </row>
    <row r="23" spans="1:10">
      <c r="A23" t="s">
        <v>378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6"/>
      <c r="J23" s="6"/>
    </row>
    <row r="24" spans="1:10">
      <c r="A24" t="s">
        <v>379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6"/>
      <c r="J24" s="6"/>
    </row>
    <row r="25" spans="1:10">
      <c r="A25" t="s">
        <v>380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6"/>
      <c r="J25" s="6"/>
    </row>
    <row r="26" spans="1:10">
      <c r="A26" t="s">
        <v>381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6"/>
      <c r="J26" s="6"/>
    </row>
    <row r="27" spans="1:10">
      <c r="A27" t="s">
        <v>382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6"/>
      <c r="J27" s="6"/>
    </row>
    <row r="28" spans="1:10">
      <c r="A28" t="s">
        <v>383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6"/>
      <c r="J28" s="6"/>
    </row>
    <row r="29" spans="1:10">
      <c r="A29" t="s">
        <v>384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6"/>
      <c r="J29" s="6"/>
    </row>
    <row r="30" spans="1:10">
      <c r="A30" t="s">
        <v>385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6"/>
      <c r="J30" s="6"/>
    </row>
    <row r="31" spans="1:10">
      <c r="A31" t="s">
        <v>386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6"/>
      <c r="J31" s="6"/>
    </row>
    <row r="32" spans="1:10">
      <c r="A32" t="s">
        <v>387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6"/>
      <c r="J32" s="6"/>
    </row>
    <row r="33" spans="1:10">
      <c r="A33" t="s">
        <v>388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6"/>
      <c r="J33" s="6"/>
    </row>
    <row r="34" spans="1:10">
      <c r="A34" t="s">
        <v>389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6"/>
      <c r="J34" s="6"/>
    </row>
    <row r="35" spans="1:10">
      <c r="A35" t="s">
        <v>390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6"/>
      <c r="J35" s="6"/>
    </row>
    <row r="36" spans="1:10">
      <c r="A36" t="s">
        <v>391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6"/>
      <c r="J36" s="6"/>
    </row>
    <row r="37" spans="1:10">
      <c r="A37" t="s">
        <v>0</v>
      </c>
      <c r="B37" s="5">
        <v>8.7608198924731191</v>
      </c>
      <c r="C37" s="5">
        <v>9.2603582999809397</v>
      </c>
      <c r="D37" s="5">
        <v>10.937163871451325</v>
      </c>
      <c r="E37" s="5">
        <v>11.570774784378331</v>
      </c>
      <c r="F37" s="5">
        <v>12.696572227093375</v>
      </c>
      <c r="G37" s="5">
        <v>9.423925871288958</v>
      </c>
      <c r="H37" s="5">
        <v>0</v>
      </c>
      <c r="I37" s="6"/>
      <c r="J37" s="6"/>
    </row>
    <row r="38" spans="1:10">
      <c r="A38" t="s">
        <v>1</v>
      </c>
      <c r="B38" s="5">
        <v>8.7608198924731191</v>
      </c>
      <c r="C38" s="5">
        <v>9.2603582999809397</v>
      </c>
      <c r="D38" s="5">
        <v>10.937163871451325</v>
      </c>
      <c r="E38" s="5">
        <v>11.570774784378331</v>
      </c>
      <c r="F38" s="5">
        <v>12.696572227093375</v>
      </c>
      <c r="G38" s="5">
        <v>9.423925871288958</v>
      </c>
      <c r="H38" s="5">
        <v>0</v>
      </c>
      <c r="I38" s="6"/>
      <c r="J38" s="6"/>
    </row>
    <row r="39" spans="1:10">
      <c r="A39" t="s">
        <v>2</v>
      </c>
      <c r="B39" s="5">
        <v>13.705760752688171</v>
      </c>
      <c r="C39" s="5">
        <v>15.669203830760432</v>
      </c>
      <c r="D39" s="5">
        <v>16.627820200505948</v>
      </c>
      <c r="E39" s="5">
        <v>18.231865975385212</v>
      </c>
      <c r="F39" s="5">
        <v>18.736373849188947</v>
      </c>
      <c r="G39" s="5">
        <v>11.608279550064543</v>
      </c>
      <c r="H39" s="5">
        <v>0</v>
      </c>
      <c r="I39" s="6"/>
      <c r="J39" s="6"/>
    </row>
    <row r="40" spans="1:10">
      <c r="A40" t="s">
        <v>3</v>
      </c>
      <c r="B40" s="5">
        <v>13.705760752688171</v>
      </c>
      <c r="C40" s="5">
        <v>15.669203830760432</v>
      </c>
      <c r="D40" s="5">
        <v>16.627820200505948</v>
      </c>
      <c r="E40" s="5">
        <v>18.231865975385212</v>
      </c>
      <c r="F40" s="5">
        <v>18.736373849188947</v>
      </c>
      <c r="G40" s="5">
        <v>11.608279550064543</v>
      </c>
      <c r="H40" s="5">
        <v>0</v>
      </c>
      <c r="I40" s="6"/>
      <c r="J40" s="6"/>
    </row>
    <row r="41" spans="1:10">
      <c r="A41" t="s">
        <v>4</v>
      </c>
      <c r="B41" s="5">
        <v>16.126932795698924</v>
      </c>
      <c r="C41" s="5">
        <v>19.17007099294835</v>
      </c>
      <c r="D41" s="5">
        <v>19.042879227958402</v>
      </c>
      <c r="E41" s="5">
        <v>19.610022773524566</v>
      </c>
      <c r="F41" s="5">
        <v>21.561442349846551</v>
      </c>
      <c r="G41" s="5">
        <v>14.291914069703116</v>
      </c>
      <c r="H41" s="5">
        <v>0</v>
      </c>
      <c r="I41" s="6"/>
      <c r="J41" s="6"/>
    </row>
    <row r="42" spans="1:10">
      <c r="A42" t="s">
        <v>5</v>
      </c>
      <c r="B42" s="5">
        <v>16.126932795698924</v>
      </c>
      <c r="C42" s="5">
        <v>19.17007099294835</v>
      </c>
      <c r="D42" s="5">
        <v>19.042879227958402</v>
      </c>
      <c r="E42" s="5">
        <v>19.610022773524566</v>
      </c>
      <c r="F42" s="5">
        <v>21.561442349846551</v>
      </c>
      <c r="G42" s="5">
        <v>14.291914069703116</v>
      </c>
      <c r="H42" s="5">
        <v>0</v>
      </c>
      <c r="I42" s="6"/>
      <c r="J42" s="6"/>
    </row>
    <row r="43" spans="1:10">
      <c r="A43" t="s">
        <v>6</v>
      </c>
      <c r="B43" s="5">
        <v>15.330494623655913</v>
      </c>
      <c r="C43" s="5">
        <v>18.915975795692777</v>
      </c>
      <c r="D43" s="5">
        <v>19.375990817951841</v>
      </c>
      <c r="E43" s="5">
        <v>20.155543172788061</v>
      </c>
      <c r="F43" s="5">
        <v>19.028622314774214</v>
      </c>
      <c r="G43" s="5">
        <v>13.76142817628619</v>
      </c>
      <c r="H43" s="5">
        <v>0</v>
      </c>
      <c r="I43" s="6"/>
      <c r="J43" s="6"/>
    </row>
    <row r="44" spans="1:10">
      <c r="A44" t="s">
        <v>7</v>
      </c>
      <c r="B44" s="5">
        <v>15.330494623655913</v>
      </c>
      <c r="C44" s="5">
        <v>18.915975795692777</v>
      </c>
      <c r="D44" s="5">
        <v>19.375990817951841</v>
      </c>
      <c r="E44" s="5">
        <v>20.155543172788061</v>
      </c>
      <c r="F44" s="5">
        <v>19.028622314774214</v>
      </c>
      <c r="G44" s="5">
        <v>13.76142817628619</v>
      </c>
      <c r="H44" s="5">
        <v>0</v>
      </c>
      <c r="I44" s="6"/>
      <c r="J44" s="6"/>
    </row>
    <row r="45" spans="1:10">
      <c r="A45" t="s">
        <v>8</v>
      </c>
      <c r="B45" s="5">
        <v>15.585354838709677</v>
      </c>
      <c r="C45" s="5">
        <v>17.871362206975412</v>
      </c>
      <c r="D45" s="5">
        <v>17.849229363815233</v>
      </c>
      <c r="E45" s="5">
        <v>19.495176373679623</v>
      </c>
      <c r="F45" s="5">
        <v>18.833790004384035</v>
      </c>
      <c r="G45" s="5">
        <v>13.605402913516507</v>
      </c>
      <c r="H45" s="5">
        <v>4</v>
      </c>
      <c r="I45" s="6"/>
      <c r="J45" s="6"/>
    </row>
    <row r="46" spans="1:10">
      <c r="A46" t="s">
        <v>9</v>
      </c>
      <c r="B46" s="5">
        <v>15.585354838709677</v>
      </c>
      <c r="C46" s="5">
        <v>17.871362206975412</v>
      </c>
      <c r="D46" s="5">
        <v>17.849229363815233</v>
      </c>
      <c r="E46" s="5">
        <v>19.495176373679623</v>
      </c>
      <c r="F46" s="5">
        <v>18.833790004384035</v>
      </c>
      <c r="G46" s="5">
        <v>13.605402913516507</v>
      </c>
      <c r="H46" s="5">
        <v>4</v>
      </c>
      <c r="I46" s="6"/>
      <c r="J46" s="6"/>
    </row>
    <row r="47" spans="1:10">
      <c r="A47" t="s">
        <v>10</v>
      </c>
      <c r="B47" s="5">
        <v>16.126932795698924</v>
      </c>
      <c r="C47" s="5">
        <v>19.537097388984179</v>
      </c>
      <c r="D47" s="5">
        <v>18.931842031293918</v>
      </c>
      <c r="E47" s="5">
        <v>20.413947572439191</v>
      </c>
      <c r="F47" s="5">
        <v>21.074361573871101</v>
      </c>
      <c r="G47" s="5">
        <v>13.76142817628619</v>
      </c>
      <c r="H47" s="5">
        <v>4</v>
      </c>
      <c r="I47" s="6"/>
      <c r="J47" s="6"/>
    </row>
    <row r="48" spans="1:10">
      <c r="A48" t="s">
        <v>11</v>
      </c>
      <c r="B48" s="5">
        <v>16.126932795698924</v>
      </c>
      <c r="C48" s="5">
        <v>19.537097388984179</v>
      </c>
      <c r="D48" s="5">
        <v>18.931842031293918</v>
      </c>
      <c r="E48" s="5">
        <v>20.413947572439191</v>
      </c>
      <c r="F48" s="5">
        <v>21.074361573871101</v>
      </c>
      <c r="G48" s="5">
        <v>13.76142817628619</v>
      </c>
      <c r="H48" s="5">
        <v>4</v>
      </c>
      <c r="I48" s="6"/>
      <c r="J48" s="6"/>
    </row>
    <row r="49" spans="1:10">
      <c r="A49" t="s">
        <v>12</v>
      </c>
      <c r="B49" s="5">
        <v>14.948204301075268</v>
      </c>
      <c r="C49" s="5">
        <v>17.222007813988945</v>
      </c>
      <c r="D49" s="5">
        <v>17.460599175489552</v>
      </c>
      <c r="E49" s="5">
        <v>17.715057176082954</v>
      </c>
      <c r="F49" s="5">
        <v>17.307603572994296</v>
      </c>
      <c r="G49" s="5">
        <v>11.889125023049974</v>
      </c>
      <c r="H49" s="5">
        <v>4</v>
      </c>
      <c r="I49" s="6"/>
      <c r="J49" s="6"/>
    </row>
    <row r="50" spans="1:10">
      <c r="A50" t="s">
        <v>13</v>
      </c>
      <c r="B50" s="5">
        <v>14.948204301075268</v>
      </c>
      <c r="C50" s="5">
        <v>17.222007813988945</v>
      </c>
      <c r="D50" s="5">
        <v>17.460599175489552</v>
      </c>
      <c r="E50" s="5">
        <v>17.715057176082954</v>
      </c>
      <c r="F50" s="5">
        <v>17.307603572994296</v>
      </c>
      <c r="G50" s="5">
        <v>11.889125023049974</v>
      </c>
      <c r="H50" s="5">
        <v>4</v>
      </c>
    </row>
    <row r="51" spans="1:10">
      <c r="A51" t="s">
        <v>14</v>
      </c>
      <c r="B51" s="5">
        <v>11.603163978494623</v>
      </c>
      <c r="C51" s="5">
        <v>14.144632647226985</v>
      </c>
      <c r="D51" s="5">
        <v>14.129483275555138</v>
      </c>
      <c r="E51" s="5">
        <v>14.786473980036826</v>
      </c>
      <c r="F51" s="5">
        <v>12.76151633055677</v>
      </c>
      <c r="G51" s="5">
        <v>9.5175410289507649</v>
      </c>
      <c r="H51" s="5">
        <v>4</v>
      </c>
    </row>
    <row r="52" spans="1:10">
      <c r="A52" t="s">
        <v>15</v>
      </c>
      <c r="B52" s="5">
        <v>11.603163978494623</v>
      </c>
      <c r="C52" s="5">
        <v>14.144632647226985</v>
      </c>
      <c r="D52" s="5">
        <v>14.129483275555138</v>
      </c>
      <c r="E52" s="5">
        <v>14.786473980036826</v>
      </c>
      <c r="F52" s="5">
        <v>12.76151633055677</v>
      </c>
      <c r="G52" s="5">
        <v>9.5175410289507649</v>
      </c>
      <c r="H52" s="5">
        <v>4</v>
      </c>
    </row>
    <row r="53" spans="1:10">
      <c r="A53" t="s">
        <v>16</v>
      </c>
      <c r="B53" s="5">
        <v>6.4670779569892476</v>
      </c>
      <c r="C53" s="5">
        <v>5.5336287402325137</v>
      </c>
      <c r="D53" s="5">
        <v>5.3297854398950619</v>
      </c>
      <c r="E53" s="5">
        <v>5.2255111929450528</v>
      </c>
      <c r="F53" s="5">
        <v>5.8449693117053911</v>
      </c>
      <c r="G53" s="5">
        <v>3.9318366217960543</v>
      </c>
      <c r="H53" s="5">
        <v>4</v>
      </c>
    </row>
    <row r="54" spans="1:10">
      <c r="A54" t="s">
        <v>17</v>
      </c>
      <c r="B54" s="5">
        <v>6.4670779569892476</v>
      </c>
      <c r="C54" s="5">
        <v>5.5336287402325137</v>
      </c>
      <c r="D54" s="5">
        <v>5.3297854398950619</v>
      </c>
      <c r="E54" s="5">
        <v>5.2255111929450528</v>
      </c>
      <c r="F54" s="5">
        <v>5.8449693117053911</v>
      </c>
      <c r="G54" s="5">
        <v>3.9318366217960543</v>
      </c>
      <c r="H54" s="5">
        <v>1.2452307692307691</v>
      </c>
    </row>
    <row r="55" spans="1:10">
      <c r="A55" t="s">
        <v>18</v>
      </c>
      <c r="B55" s="5">
        <v>4.6193413978494622</v>
      </c>
      <c r="C55" s="5">
        <v>4.0372903563941298</v>
      </c>
      <c r="D55" s="5">
        <v>4.4414878665792186</v>
      </c>
      <c r="E55" s="5">
        <v>4.4215863940304292</v>
      </c>
      <c r="F55" s="5">
        <v>4.8708077597544923</v>
      </c>
      <c r="G55" s="5">
        <v>2.8396597824082619</v>
      </c>
      <c r="H55" s="5">
        <v>1.2627692307692306</v>
      </c>
    </row>
    <row r="56" spans="1:10">
      <c r="A56" t="s">
        <v>19</v>
      </c>
      <c r="B56" s="5">
        <v>4.6193413978494622</v>
      </c>
      <c r="C56" s="5">
        <v>4.0372903563941298</v>
      </c>
      <c r="D56" s="5">
        <v>4.4414878665792186</v>
      </c>
      <c r="E56" s="5">
        <v>4.4215863940304292</v>
      </c>
      <c r="F56" s="5">
        <v>4.8708077597544923</v>
      </c>
      <c r="G56" s="5">
        <v>2.8396597824082619</v>
      </c>
      <c r="H56" s="5">
        <v>1.2627692307692306</v>
      </c>
    </row>
    <row r="57" spans="1:10">
      <c r="A57" t="s">
        <v>20</v>
      </c>
      <c r="B57" s="5">
        <v>4.2689086021505371</v>
      </c>
      <c r="C57" s="5">
        <v>3.8678935582237464</v>
      </c>
      <c r="D57" s="5">
        <v>3.6642274899278551</v>
      </c>
      <c r="E57" s="5">
        <v>3.7325079949607525</v>
      </c>
      <c r="F57" s="5">
        <v>3.961590311266987</v>
      </c>
      <c r="G57" s="5">
        <v>2.5588143094228291</v>
      </c>
      <c r="H57" s="5">
        <v>0.99969230769230755</v>
      </c>
    </row>
    <row r="58" spans="1:10">
      <c r="A58" t="s">
        <v>21</v>
      </c>
      <c r="B58" s="5">
        <v>4.2689086021505371</v>
      </c>
      <c r="C58" s="5">
        <v>3.8678935582237464</v>
      </c>
      <c r="D58" s="5">
        <v>3.6642274899278551</v>
      </c>
      <c r="E58" s="5">
        <v>3.7325079949607525</v>
      </c>
      <c r="F58" s="5">
        <v>3.961590311266987</v>
      </c>
      <c r="G58" s="5">
        <v>2.5588143094228291</v>
      </c>
      <c r="H58" s="5">
        <v>0.99969230769230755</v>
      </c>
    </row>
    <row r="59" spans="1:10">
      <c r="A59" t="s">
        <v>22</v>
      </c>
      <c r="B59" s="5">
        <v>5.0972043010752692</v>
      </c>
      <c r="C59" s="5">
        <v>4.0372903563941298</v>
      </c>
      <c r="D59" s="5">
        <v>4.3859692682469777</v>
      </c>
      <c r="E59" s="5">
        <v>4.4502979939916658</v>
      </c>
      <c r="F59" s="5">
        <v>4.7733916045594018</v>
      </c>
      <c r="G59" s="5">
        <v>3.4013507283791267</v>
      </c>
      <c r="H59" s="5">
        <v>1.1926153846153844</v>
      </c>
    </row>
    <row r="60" spans="1:10">
      <c r="A60" t="s">
        <v>23</v>
      </c>
      <c r="B60" s="5">
        <v>5.0972043010752692</v>
      </c>
      <c r="C60" s="5">
        <v>4.0372903563941298</v>
      </c>
      <c r="D60" s="5">
        <v>4.3859692682469777</v>
      </c>
      <c r="E60" s="5">
        <v>4.4502979939916658</v>
      </c>
      <c r="F60" s="5">
        <v>4.7733916045594018</v>
      </c>
      <c r="G60" s="5">
        <v>3.4013507283791267</v>
      </c>
      <c r="H60" s="5">
        <v>1.1926153846153844</v>
      </c>
    </row>
    <row r="61" spans="1:10">
      <c r="A61" t="s">
        <v>24</v>
      </c>
      <c r="B61" s="5">
        <v>6.7856532258064526</v>
      </c>
      <c r="C61" s="5">
        <v>6.4088455307794918</v>
      </c>
      <c r="D61" s="5">
        <v>6.384638808207626</v>
      </c>
      <c r="E61" s="5">
        <v>6.8620723907355377</v>
      </c>
      <c r="F61" s="5">
        <v>7.4036277948268268</v>
      </c>
      <c r="G61" s="5">
        <v>4.0566568320118028</v>
      </c>
      <c r="H61" s="5">
        <v>1.5433846153846156</v>
      </c>
    </row>
    <row r="62" spans="1:10">
      <c r="A62" t="s">
        <v>25</v>
      </c>
      <c r="B62" s="5">
        <v>6.7856532258064526</v>
      </c>
      <c r="C62" s="5">
        <v>6.4088455307794918</v>
      </c>
      <c r="D62" s="5">
        <v>6.384638808207626</v>
      </c>
      <c r="E62" s="5">
        <v>6.8620723907355377</v>
      </c>
      <c r="F62" s="5">
        <v>7.4036277948268268</v>
      </c>
      <c r="G62" s="5">
        <v>4.0566568320118028</v>
      </c>
      <c r="H62" s="5">
        <v>1.5433846153846156</v>
      </c>
    </row>
    <row r="63" spans="1:10">
      <c r="A63" t="s">
        <v>26</v>
      </c>
      <c r="B63" s="5">
        <v>8.0669784946236565</v>
      </c>
      <c r="C63" s="5">
        <v>9.3450566990661326</v>
      </c>
      <c r="D63" s="5">
        <v>9.4659210156469591</v>
      </c>
      <c r="E63" s="5">
        <v>9.8767903866653768</v>
      </c>
      <c r="F63" s="5">
        <v>9.6441993643138932</v>
      </c>
      <c r="G63" s="5">
        <v>4.4935275677669191</v>
      </c>
      <c r="H63" s="5">
        <v>4</v>
      </c>
      <c r="J63" s="5"/>
    </row>
    <row r="64" spans="1:10">
      <c r="A64" t="s">
        <v>27</v>
      </c>
      <c r="B64" s="5">
        <v>8.0669784946236565</v>
      </c>
      <c r="C64" s="5">
        <v>9.3450566990661326</v>
      </c>
      <c r="D64" s="5">
        <v>9.4659210156469591</v>
      </c>
      <c r="E64" s="5">
        <v>9.8767903866653768</v>
      </c>
      <c r="F64" s="5">
        <v>9.6441993643138932</v>
      </c>
      <c r="G64" s="5">
        <v>4.4935275677669191</v>
      </c>
      <c r="H64" s="5">
        <v>4</v>
      </c>
    </row>
    <row r="65" spans="1:8">
      <c r="A65" t="s">
        <v>28</v>
      </c>
      <c r="B65" s="5">
        <v>11.507591397849465</v>
      </c>
      <c r="C65" s="5">
        <v>12.704759862778728</v>
      </c>
      <c r="D65" s="5">
        <v>13.241185702239296</v>
      </c>
      <c r="E65" s="5">
        <v>12.891508382595212</v>
      </c>
      <c r="F65" s="5">
        <v>11.852298882069263</v>
      </c>
      <c r="G65" s="5">
        <v>5.7729347224783343</v>
      </c>
      <c r="H65" s="5">
        <v>4</v>
      </c>
    </row>
    <row r="66" spans="1:8">
      <c r="A66" t="s">
        <v>29</v>
      </c>
      <c r="B66" s="5">
        <v>11.507591397849465</v>
      </c>
      <c r="C66" s="5">
        <v>12.704759862778728</v>
      </c>
      <c r="D66" s="5">
        <v>13.241185702239296</v>
      </c>
      <c r="E66" s="5">
        <v>12.891508382595212</v>
      </c>
      <c r="F66" s="5">
        <v>11.852298882069263</v>
      </c>
      <c r="G66" s="5">
        <v>5.7729347224783343</v>
      </c>
      <c r="H66" s="5">
        <v>4</v>
      </c>
    </row>
    <row r="67" spans="1:8">
      <c r="A67" t="s">
        <v>30</v>
      </c>
      <c r="B67" s="5">
        <v>15.01191935483871</v>
      </c>
      <c r="C67" s="5">
        <v>15.556272631980177</v>
      </c>
      <c r="D67" s="5">
        <v>14.795706455542021</v>
      </c>
      <c r="E67" s="5">
        <v>15.274571179377848</v>
      </c>
      <c r="F67" s="5">
        <v>14.872199693117048</v>
      </c>
      <c r="G67" s="5">
        <v>6.6778812465425057</v>
      </c>
      <c r="H67" s="5">
        <v>4</v>
      </c>
    </row>
    <row r="68" spans="1:8">
      <c r="A68" t="s">
        <v>31</v>
      </c>
      <c r="B68" s="5">
        <v>15.01191935483871</v>
      </c>
      <c r="C68" s="5">
        <v>15.556272631980177</v>
      </c>
      <c r="D68" s="5">
        <v>14.795706455542021</v>
      </c>
      <c r="E68" s="5">
        <v>15.274571179377848</v>
      </c>
      <c r="F68" s="5">
        <v>14.872199693117048</v>
      </c>
      <c r="G68" s="5">
        <v>6.6778812465425057</v>
      </c>
      <c r="H68" s="5">
        <v>4</v>
      </c>
    </row>
    <row r="69" spans="1:8">
      <c r="A69" t="s">
        <v>32</v>
      </c>
      <c r="B69" s="5">
        <v>17.146373655913976</v>
      </c>
      <c r="C69" s="5">
        <v>17.419637411854392</v>
      </c>
      <c r="D69" s="5">
        <v>17.29404338049283</v>
      </c>
      <c r="E69" s="5">
        <v>17.456652776431824</v>
      </c>
      <c r="F69" s="5">
        <v>18.02198871109162</v>
      </c>
      <c r="G69" s="5">
        <v>7.3955974552830552</v>
      </c>
      <c r="H69" s="5">
        <v>4</v>
      </c>
    </row>
    <row r="70" spans="1:8">
      <c r="A70" t="s">
        <v>33</v>
      </c>
      <c r="B70" s="5">
        <v>17.146373655913976</v>
      </c>
      <c r="C70" s="5">
        <v>17.419637411854392</v>
      </c>
      <c r="D70" s="5">
        <v>17.29404338049283</v>
      </c>
      <c r="E70" s="5">
        <v>17.456652776431824</v>
      </c>
      <c r="F70" s="5">
        <v>18.02198871109162</v>
      </c>
      <c r="G70" s="5">
        <v>7.3955974552830552</v>
      </c>
      <c r="H70" s="5">
        <v>4</v>
      </c>
    </row>
    <row r="71" spans="1:8">
      <c r="A71" t="s">
        <v>34</v>
      </c>
      <c r="B71" s="5">
        <v>17.783524193548384</v>
      </c>
      <c r="C71" s="5">
        <v>18.803044596912521</v>
      </c>
      <c r="D71" s="5">
        <v>18.543211842968237</v>
      </c>
      <c r="E71" s="5">
        <v>16.480458377749784</v>
      </c>
      <c r="F71" s="5">
        <v>17.210187417799204</v>
      </c>
      <c r="G71" s="5">
        <v>7.5204176654988029</v>
      </c>
      <c r="H71" s="5">
        <v>4</v>
      </c>
    </row>
    <row r="72" spans="1:8">
      <c r="A72" t="s">
        <v>35</v>
      </c>
      <c r="B72" s="5">
        <v>17.783524193548384</v>
      </c>
      <c r="C72" s="5">
        <v>18.803044596912521</v>
      </c>
      <c r="D72" s="5">
        <v>18.543211842968237</v>
      </c>
      <c r="E72" s="5">
        <v>16.480458377749784</v>
      </c>
      <c r="F72" s="5">
        <v>17.210187417799204</v>
      </c>
      <c r="G72" s="5">
        <v>7.5204176654988029</v>
      </c>
      <c r="H72" s="5">
        <v>4</v>
      </c>
    </row>
    <row r="73" spans="1:8">
      <c r="A73" t="s">
        <v>36</v>
      </c>
      <c r="B73" s="5">
        <v>16.955228494623654</v>
      </c>
      <c r="C73" s="5">
        <v>17.956060606060607</v>
      </c>
      <c r="D73" s="5">
        <v>17.543877072987911</v>
      </c>
      <c r="E73" s="5">
        <v>16.509169977711018</v>
      </c>
      <c r="F73" s="5">
        <v>16.755578693555453</v>
      </c>
      <c r="G73" s="5">
        <v>6.6466761939885695</v>
      </c>
      <c r="H73" s="5">
        <v>4</v>
      </c>
    </row>
    <row r="74" spans="1:8">
      <c r="A74" t="s">
        <v>37</v>
      </c>
      <c r="B74" s="5">
        <v>16.955228494623654</v>
      </c>
      <c r="C74" s="5">
        <v>17.956060606060607</v>
      </c>
      <c r="D74" s="5">
        <v>17.543877072987911</v>
      </c>
      <c r="E74" s="5">
        <v>16.509169977711018</v>
      </c>
      <c r="F74" s="5">
        <v>16.755578693555453</v>
      </c>
      <c r="G74" s="5">
        <v>6.6466761939885695</v>
      </c>
      <c r="H74" s="5">
        <v>4</v>
      </c>
    </row>
    <row r="75" spans="1:8">
      <c r="A75" t="s">
        <v>38</v>
      </c>
      <c r="B75" s="5">
        <v>13.73761827956989</v>
      </c>
      <c r="C75" s="5">
        <v>17.814896607585286</v>
      </c>
      <c r="D75" s="5">
        <v>17.183006183828351</v>
      </c>
      <c r="E75" s="5">
        <v>16.164630778176182</v>
      </c>
      <c r="F75" s="5">
        <v>15.586584831214376</v>
      </c>
      <c r="G75" s="5">
        <v>6.2722155633413248</v>
      </c>
      <c r="H75" s="5">
        <v>4</v>
      </c>
    </row>
    <row r="76" spans="1:8">
      <c r="A76" t="s">
        <v>39</v>
      </c>
      <c r="B76" s="5">
        <v>13.73761827956989</v>
      </c>
      <c r="C76" s="5">
        <v>17.814896607585286</v>
      </c>
      <c r="D76" s="5">
        <v>17.183006183828351</v>
      </c>
      <c r="E76" s="5">
        <v>16.164630778176182</v>
      </c>
      <c r="F76" s="5">
        <v>15.586584831214376</v>
      </c>
      <c r="G76" s="5">
        <v>6.2722155633413248</v>
      </c>
      <c r="H76" s="5">
        <v>4</v>
      </c>
    </row>
    <row r="77" spans="1:8">
      <c r="A77" t="s">
        <v>40</v>
      </c>
      <c r="B77" s="5">
        <v>11.730594086021503</v>
      </c>
      <c r="C77" s="5">
        <v>14.935151038688774</v>
      </c>
      <c r="D77" s="5">
        <v>13.629815890564979</v>
      </c>
      <c r="E77" s="5">
        <v>11.857890783990698</v>
      </c>
      <c r="F77" s="5">
        <v>11.332746054362119</v>
      </c>
      <c r="G77" s="5">
        <v>4.4623225152129828</v>
      </c>
      <c r="H77" s="5">
        <v>4</v>
      </c>
    </row>
    <row r="78" spans="1:8">
      <c r="A78" t="s">
        <v>41</v>
      </c>
      <c r="B78" s="5">
        <v>11.730594086021503</v>
      </c>
      <c r="C78" s="5">
        <v>14.935151038688774</v>
      </c>
      <c r="D78" s="5">
        <v>13.629815890564979</v>
      </c>
      <c r="E78" s="5">
        <v>11.857890783990698</v>
      </c>
      <c r="F78" s="5">
        <v>11.332746054362119</v>
      </c>
      <c r="G78" s="5">
        <v>4.4623225152129828</v>
      </c>
      <c r="H78" s="5">
        <v>4</v>
      </c>
    </row>
    <row r="79" spans="1:8">
      <c r="A79" t="s">
        <v>42</v>
      </c>
      <c r="B79" s="5">
        <v>9.5891155913978476</v>
      </c>
      <c r="C79" s="5">
        <v>9.7120830951019634</v>
      </c>
      <c r="D79" s="5">
        <v>9.5491989131453199</v>
      </c>
      <c r="E79" s="5">
        <v>8.010536389184999</v>
      </c>
      <c r="F79" s="5">
        <v>8.2803731915826368</v>
      </c>
      <c r="G79" s="5">
        <v>3.7134012539184957</v>
      </c>
      <c r="H79" s="5">
        <v>2</v>
      </c>
    </row>
    <row r="80" spans="1:8">
      <c r="A80" t="s">
        <v>43</v>
      </c>
      <c r="B80" s="5">
        <v>9.5891155913978476</v>
      </c>
      <c r="C80" s="5">
        <v>9.7120830951019634</v>
      </c>
      <c r="D80" s="5">
        <v>9.5491989131453199</v>
      </c>
      <c r="E80" s="5">
        <v>8.010536389184999</v>
      </c>
      <c r="F80" s="5">
        <v>8.2803731915826368</v>
      </c>
      <c r="G80" s="5">
        <v>3.7134012539184957</v>
      </c>
      <c r="H80" s="5">
        <v>2</v>
      </c>
    </row>
    <row r="81" spans="1:8">
      <c r="A81" t="s">
        <v>44</v>
      </c>
      <c r="B81" s="5">
        <v>4.1096209677419351</v>
      </c>
      <c r="C81" s="5">
        <v>5.4489303411473227</v>
      </c>
      <c r="D81" s="5">
        <v>4.7190808582404191</v>
      </c>
      <c r="E81" s="5">
        <v>3.7325079949607525</v>
      </c>
      <c r="F81" s="5">
        <v>3.0523728627794817</v>
      </c>
      <c r="G81" s="5">
        <v>1.1857919970496038</v>
      </c>
      <c r="H81" s="5">
        <v>2</v>
      </c>
    </row>
    <row r="82" spans="1:8">
      <c r="A82" t="s">
        <v>45</v>
      </c>
      <c r="B82" s="5">
        <v>4.1096209677419351</v>
      </c>
      <c r="C82" s="5">
        <v>5.4489303411473227</v>
      </c>
      <c r="D82" s="5">
        <v>4.7190808582404191</v>
      </c>
      <c r="E82" s="5">
        <v>3.7325079949607525</v>
      </c>
      <c r="F82" s="5">
        <v>3.0523728627794817</v>
      </c>
      <c r="G82" s="5">
        <v>1.1857919970496038</v>
      </c>
      <c r="H82" s="5">
        <v>2</v>
      </c>
    </row>
    <row r="83" spans="1:8">
      <c r="A83" t="s">
        <v>46</v>
      </c>
      <c r="B83" s="5">
        <v>2</v>
      </c>
      <c r="C83" s="5">
        <v>2</v>
      </c>
      <c r="D83" s="5">
        <v>2</v>
      </c>
      <c r="E83" s="5">
        <v>2</v>
      </c>
      <c r="F83" s="5">
        <v>2</v>
      </c>
      <c r="G83" s="5">
        <v>2</v>
      </c>
      <c r="H83" s="5">
        <v>2</v>
      </c>
    </row>
    <row r="84" spans="1:8">
      <c r="A84" t="s">
        <v>47</v>
      </c>
      <c r="B84" s="5">
        <v>2</v>
      </c>
      <c r="C84" s="5">
        <v>2</v>
      </c>
      <c r="D84" s="5">
        <v>2</v>
      </c>
      <c r="E84" s="5">
        <v>2</v>
      </c>
      <c r="F84" s="5">
        <v>2</v>
      </c>
      <c r="G84" s="5">
        <v>2</v>
      </c>
      <c r="H84" s="5">
        <v>2</v>
      </c>
    </row>
    <row r="85" spans="1:8">
      <c r="A85" t="s">
        <v>392</v>
      </c>
      <c r="B85" s="5">
        <v>0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1:8">
      <c r="A86" t="s">
        <v>393</v>
      </c>
      <c r="B86" s="5">
        <v>0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1:8">
      <c r="A87" t="s">
        <v>394</v>
      </c>
      <c r="B87" s="5">
        <v>0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1:8">
      <c r="A88" t="s">
        <v>395</v>
      </c>
      <c r="B88" s="5">
        <v>0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1:8">
      <c r="A89" t="s">
        <v>396</v>
      </c>
      <c r="B89" s="5">
        <v>0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1:8">
      <c r="A90" t="s">
        <v>397</v>
      </c>
      <c r="B90" s="5">
        <v>0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1:8">
      <c r="A91" t="s">
        <v>398</v>
      </c>
      <c r="B91" s="5">
        <v>0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1:8">
      <c r="A92" t="s">
        <v>399</v>
      </c>
      <c r="B92" s="5">
        <v>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1:8">
      <c r="A93" t="s">
        <v>400</v>
      </c>
      <c r="B93" s="5">
        <v>0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1:8">
      <c r="A94" t="s">
        <v>401</v>
      </c>
      <c r="B94" s="5">
        <v>0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1:8">
      <c r="A95" t="s">
        <v>402</v>
      </c>
      <c r="B95" s="5">
        <v>0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1:8">
      <c r="A96" t="s">
        <v>403</v>
      </c>
      <c r="B96" s="5">
        <v>0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unWFMfixturnigpt5sceltariposi">
                <anchor moveWithCells="1" sizeWithCells="1">
                  <from>
                    <xdr:col>9</xdr:col>
                    <xdr:colOff>261938</xdr:colOff>
                    <xdr:row>8</xdr:row>
                    <xdr:rowOff>109538</xdr:rowOff>
                  </from>
                  <to>
                    <xdr:col>12</xdr:col>
                    <xdr:colOff>566738</xdr:colOff>
                    <xdr:row>16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unWFMfixturnigpt5fasce">
                <anchor moveWithCells="1" sizeWithCells="1">
                  <from>
                    <xdr:col>11</xdr:col>
                    <xdr:colOff>285750</xdr:colOff>
                    <xdr:row>1</xdr:row>
                    <xdr:rowOff>0</xdr:rowOff>
                  </from>
                  <to>
                    <xdr:col>14</xdr:col>
                    <xdr:colOff>204788</xdr:colOff>
                    <xdr:row>3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D101"/>
  <sheetViews>
    <sheetView zoomScaleNormal="100" workbookViewId="0">
      <selection activeCell="D15" sqref="D15"/>
    </sheetView>
  </sheetViews>
  <sheetFormatPr defaultRowHeight="14.25"/>
  <cols>
    <col min="4" max="4" width="14.19921875" customWidth="1"/>
  </cols>
  <sheetData>
    <row r="1" spans="1:4">
      <c r="A1" t="s">
        <v>50</v>
      </c>
      <c r="B1" s="1" t="s">
        <v>229</v>
      </c>
      <c r="C1" s="1" t="s">
        <v>230</v>
      </c>
      <c r="D1" t="s">
        <v>49</v>
      </c>
    </row>
    <row r="2" spans="1:4">
      <c r="A2" t="s">
        <v>51</v>
      </c>
      <c r="B2" s="2" t="s">
        <v>162</v>
      </c>
      <c r="C2" s="2" t="s">
        <v>163</v>
      </c>
      <c r="D2" s="3">
        <v>4</v>
      </c>
    </row>
    <row r="3" spans="1:4">
      <c r="A3" t="s">
        <v>52</v>
      </c>
      <c r="B3" s="2" t="s">
        <v>162</v>
      </c>
      <c r="C3" s="2" t="s">
        <v>164</v>
      </c>
      <c r="D3" s="3">
        <v>6</v>
      </c>
    </row>
    <row r="4" spans="1:4">
      <c r="A4" t="s">
        <v>53</v>
      </c>
      <c r="B4" s="2" t="s">
        <v>162</v>
      </c>
      <c r="C4" s="2" t="s">
        <v>165</v>
      </c>
      <c r="D4" s="3">
        <v>8</v>
      </c>
    </row>
    <row r="5" spans="1:4">
      <c r="A5" t="s">
        <v>54</v>
      </c>
      <c r="B5" s="2" t="s">
        <v>166</v>
      </c>
      <c r="C5" s="2" t="s">
        <v>167</v>
      </c>
      <c r="D5" s="3">
        <v>4</v>
      </c>
    </row>
    <row r="6" spans="1:4">
      <c r="A6" t="s">
        <v>55</v>
      </c>
      <c r="B6" s="2" t="s">
        <v>166</v>
      </c>
      <c r="C6" s="2" t="s">
        <v>168</v>
      </c>
      <c r="D6" s="3">
        <v>6</v>
      </c>
    </row>
    <row r="7" spans="1:4">
      <c r="A7" t="s">
        <v>56</v>
      </c>
      <c r="B7" s="2" t="s">
        <v>161</v>
      </c>
      <c r="C7" s="2" t="s">
        <v>169</v>
      </c>
      <c r="D7" s="3">
        <v>4</v>
      </c>
    </row>
    <row r="8" spans="1:4">
      <c r="A8" t="s">
        <v>57</v>
      </c>
      <c r="B8" s="2" t="s">
        <v>161</v>
      </c>
      <c r="C8" s="2" t="s">
        <v>170</v>
      </c>
      <c r="D8" s="3">
        <v>6</v>
      </c>
    </row>
    <row r="9" spans="1:4">
      <c r="A9" t="s">
        <v>58</v>
      </c>
      <c r="B9" s="2" t="s">
        <v>161</v>
      </c>
      <c r="C9" s="2" t="s">
        <v>171</v>
      </c>
      <c r="D9" s="3">
        <v>8</v>
      </c>
    </row>
    <row r="10" spans="1:4">
      <c r="A10" t="s">
        <v>59</v>
      </c>
      <c r="B10" s="2" t="s">
        <v>172</v>
      </c>
      <c r="C10" s="2" t="s">
        <v>173</v>
      </c>
      <c r="D10" s="3">
        <v>4</v>
      </c>
    </row>
    <row r="11" spans="1:4">
      <c r="A11" t="s">
        <v>60</v>
      </c>
      <c r="B11" s="2" t="s">
        <v>172</v>
      </c>
      <c r="C11" s="2" t="s">
        <v>174</v>
      </c>
      <c r="D11" s="3">
        <v>6</v>
      </c>
    </row>
    <row r="12" spans="1:4">
      <c r="A12" t="s">
        <v>61</v>
      </c>
      <c r="B12" s="2" t="s">
        <v>175</v>
      </c>
      <c r="C12" s="2" t="s">
        <v>176</v>
      </c>
      <c r="D12" s="3">
        <v>4</v>
      </c>
    </row>
    <row r="13" spans="1:4">
      <c r="A13" t="s">
        <v>62</v>
      </c>
      <c r="B13" s="2" t="s">
        <v>175</v>
      </c>
      <c r="C13" s="2" t="s">
        <v>177</v>
      </c>
      <c r="D13" s="3">
        <v>6</v>
      </c>
    </row>
    <row r="14" spans="1:4">
      <c r="A14" t="s">
        <v>63</v>
      </c>
      <c r="B14" s="2" t="s">
        <v>175</v>
      </c>
      <c r="C14" s="2" t="s">
        <v>178</v>
      </c>
      <c r="D14" s="3">
        <v>8</v>
      </c>
    </row>
    <row r="15" spans="1:4">
      <c r="A15" t="s">
        <v>64</v>
      </c>
      <c r="B15" s="2" t="s">
        <v>179</v>
      </c>
      <c r="C15" s="2" t="s">
        <v>180</v>
      </c>
      <c r="D15" s="3">
        <v>4</v>
      </c>
    </row>
    <row r="16" spans="1:4">
      <c r="A16" t="s">
        <v>65</v>
      </c>
      <c r="B16" s="2" t="s">
        <v>179</v>
      </c>
      <c r="C16" s="2" t="s">
        <v>181</v>
      </c>
      <c r="D16" s="3">
        <v>6</v>
      </c>
    </row>
    <row r="17" spans="1:4">
      <c r="A17" t="s">
        <v>66</v>
      </c>
      <c r="B17" s="2" t="s">
        <v>182</v>
      </c>
      <c r="C17" s="2" t="s">
        <v>183</v>
      </c>
      <c r="D17" s="3">
        <v>4</v>
      </c>
    </row>
    <row r="18" spans="1:4">
      <c r="A18" t="s">
        <v>67</v>
      </c>
      <c r="B18" s="2" t="s">
        <v>182</v>
      </c>
      <c r="C18" s="2" t="s">
        <v>184</v>
      </c>
      <c r="D18" s="3">
        <v>6</v>
      </c>
    </row>
    <row r="19" spans="1:4">
      <c r="A19" t="s">
        <v>68</v>
      </c>
      <c r="B19" s="2" t="s">
        <v>182</v>
      </c>
      <c r="C19" s="2" t="s">
        <v>185</v>
      </c>
      <c r="D19" s="3">
        <v>8</v>
      </c>
    </row>
    <row r="20" spans="1:4">
      <c r="A20" t="s">
        <v>69</v>
      </c>
      <c r="B20" s="2" t="s">
        <v>186</v>
      </c>
      <c r="C20" s="2" t="s">
        <v>187</v>
      </c>
      <c r="D20" s="3">
        <v>4</v>
      </c>
    </row>
    <row r="21" spans="1:4">
      <c r="A21" t="s">
        <v>70</v>
      </c>
      <c r="B21" s="2" t="s">
        <v>186</v>
      </c>
      <c r="C21" s="2" t="s">
        <v>188</v>
      </c>
      <c r="D21" s="3">
        <v>6</v>
      </c>
    </row>
    <row r="22" spans="1:4">
      <c r="A22" t="s">
        <v>71</v>
      </c>
      <c r="B22" s="2" t="s">
        <v>189</v>
      </c>
      <c r="C22" s="2" t="s">
        <v>164</v>
      </c>
      <c r="D22" s="3">
        <v>4</v>
      </c>
    </row>
    <row r="23" spans="1:4">
      <c r="A23" t="s">
        <v>72</v>
      </c>
      <c r="B23" s="2" t="s">
        <v>189</v>
      </c>
      <c r="C23" s="2" t="s">
        <v>165</v>
      </c>
      <c r="D23" s="3">
        <v>6</v>
      </c>
    </row>
    <row r="24" spans="1:4">
      <c r="A24" t="s">
        <v>73</v>
      </c>
      <c r="B24" s="2" t="s">
        <v>189</v>
      </c>
      <c r="C24" s="2" t="s">
        <v>190</v>
      </c>
      <c r="D24" s="3">
        <v>8</v>
      </c>
    </row>
    <row r="25" spans="1:4">
      <c r="A25" t="s">
        <v>74</v>
      </c>
      <c r="B25" s="2" t="s">
        <v>191</v>
      </c>
      <c r="C25" s="2" t="s">
        <v>168</v>
      </c>
      <c r="D25" s="3">
        <v>4</v>
      </c>
    </row>
    <row r="26" spans="1:4">
      <c r="A26" t="s">
        <v>75</v>
      </c>
      <c r="B26" s="2" t="s">
        <v>191</v>
      </c>
      <c r="C26" s="2" t="s">
        <v>192</v>
      </c>
      <c r="D26" s="3">
        <v>6</v>
      </c>
    </row>
    <row r="27" spans="1:4">
      <c r="A27" t="s">
        <v>76</v>
      </c>
      <c r="B27" s="2" t="s">
        <v>193</v>
      </c>
      <c r="C27" s="2" t="s">
        <v>170</v>
      </c>
      <c r="D27" s="3">
        <v>4</v>
      </c>
    </row>
    <row r="28" spans="1:4">
      <c r="A28" t="s">
        <v>77</v>
      </c>
      <c r="B28" s="2" t="s">
        <v>193</v>
      </c>
      <c r="C28" s="2" t="s">
        <v>171</v>
      </c>
      <c r="D28" s="3">
        <v>6</v>
      </c>
    </row>
    <row r="29" spans="1:4">
      <c r="A29" t="s">
        <v>78</v>
      </c>
      <c r="B29" s="2" t="s">
        <v>193</v>
      </c>
      <c r="C29" s="2" t="s">
        <v>194</v>
      </c>
      <c r="D29" s="3">
        <v>8</v>
      </c>
    </row>
    <row r="30" spans="1:4">
      <c r="A30" t="s">
        <v>79</v>
      </c>
      <c r="B30" s="2" t="s">
        <v>195</v>
      </c>
      <c r="C30" s="2" t="s">
        <v>174</v>
      </c>
      <c r="D30" s="3">
        <v>4</v>
      </c>
    </row>
    <row r="31" spans="1:4">
      <c r="A31" t="s">
        <v>80</v>
      </c>
      <c r="B31" s="2" t="s">
        <v>195</v>
      </c>
      <c r="C31" s="2" t="s">
        <v>196</v>
      </c>
      <c r="D31" s="3">
        <v>6</v>
      </c>
    </row>
    <row r="32" spans="1:4">
      <c r="A32" t="s">
        <v>81</v>
      </c>
      <c r="B32" s="2" t="s">
        <v>197</v>
      </c>
      <c r="C32" s="2" t="s">
        <v>177</v>
      </c>
      <c r="D32" s="3">
        <v>4</v>
      </c>
    </row>
    <row r="33" spans="1:4">
      <c r="A33" t="s">
        <v>82</v>
      </c>
      <c r="B33" s="2" t="s">
        <v>197</v>
      </c>
      <c r="C33" s="2" t="s">
        <v>178</v>
      </c>
      <c r="D33" s="3">
        <v>6</v>
      </c>
    </row>
    <row r="34" spans="1:4">
      <c r="A34" t="s">
        <v>83</v>
      </c>
      <c r="B34" s="2" t="s">
        <v>197</v>
      </c>
      <c r="C34" s="2" t="s">
        <v>198</v>
      </c>
      <c r="D34" s="3">
        <v>8</v>
      </c>
    </row>
    <row r="35" spans="1:4">
      <c r="A35" t="s">
        <v>84</v>
      </c>
      <c r="B35" s="2" t="s">
        <v>199</v>
      </c>
      <c r="C35" s="2" t="s">
        <v>181</v>
      </c>
      <c r="D35" s="3">
        <v>4</v>
      </c>
    </row>
    <row r="36" spans="1:4">
      <c r="A36" t="s">
        <v>85</v>
      </c>
      <c r="B36" s="2" t="s">
        <v>199</v>
      </c>
      <c r="C36" s="2" t="s">
        <v>200</v>
      </c>
      <c r="D36" s="3">
        <v>6</v>
      </c>
    </row>
    <row r="37" spans="1:4">
      <c r="A37" t="s">
        <v>86</v>
      </c>
      <c r="B37" s="2" t="s">
        <v>201</v>
      </c>
      <c r="C37" s="2" t="s">
        <v>184</v>
      </c>
      <c r="D37" s="3">
        <v>4</v>
      </c>
    </row>
    <row r="38" spans="1:4">
      <c r="A38" t="s">
        <v>87</v>
      </c>
      <c r="B38" s="2" t="s">
        <v>201</v>
      </c>
      <c r="C38" s="2" t="s">
        <v>185</v>
      </c>
      <c r="D38" s="3">
        <v>6</v>
      </c>
    </row>
    <row r="39" spans="1:4">
      <c r="A39" t="s">
        <v>88</v>
      </c>
      <c r="B39" s="2" t="s">
        <v>201</v>
      </c>
      <c r="C39" s="2" t="s">
        <v>202</v>
      </c>
      <c r="D39" s="3">
        <v>8</v>
      </c>
    </row>
    <row r="40" spans="1:4">
      <c r="A40" t="s">
        <v>89</v>
      </c>
      <c r="B40" s="2" t="s">
        <v>203</v>
      </c>
      <c r="C40" s="2" t="s">
        <v>188</v>
      </c>
      <c r="D40" s="3">
        <v>4</v>
      </c>
    </row>
    <row r="41" spans="1:4">
      <c r="A41" t="s">
        <v>90</v>
      </c>
      <c r="B41" s="2" t="s">
        <v>203</v>
      </c>
      <c r="C41" s="2" t="s">
        <v>204</v>
      </c>
      <c r="D41" s="3">
        <v>6</v>
      </c>
    </row>
    <row r="42" spans="1:4">
      <c r="A42" t="s">
        <v>91</v>
      </c>
      <c r="B42" s="2" t="s">
        <v>163</v>
      </c>
      <c r="C42" s="2" t="s">
        <v>165</v>
      </c>
      <c r="D42" s="3">
        <v>4</v>
      </c>
    </row>
    <row r="43" spans="1:4">
      <c r="A43" t="s">
        <v>92</v>
      </c>
      <c r="B43" s="2" t="s">
        <v>163</v>
      </c>
      <c r="C43" s="2" t="s">
        <v>190</v>
      </c>
      <c r="D43" s="3">
        <v>6</v>
      </c>
    </row>
    <row r="44" spans="1:4">
      <c r="A44" t="s">
        <v>93</v>
      </c>
      <c r="B44" s="2" t="s">
        <v>163</v>
      </c>
      <c r="C44" s="2" t="s">
        <v>205</v>
      </c>
      <c r="D44" s="3">
        <v>8</v>
      </c>
    </row>
    <row r="45" spans="1:4">
      <c r="A45" t="s">
        <v>94</v>
      </c>
      <c r="B45" s="2" t="s">
        <v>167</v>
      </c>
      <c r="C45" s="2" t="s">
        <v>192</v>
      </c>
      <c r="D45" s="3">
        <v>4</v>
      </c>
    </row>
    <row r="46" spans="1:4">
      <c r="A46" t="s">
        <v>95</v>
      </c>
      <c r="B46" s="2" t="s">
        <v>167</v>
      </c>
      <c r="C46" s="2" t="s">
        <v>206</v>
      </c>
      <c r="D46" s="3">
        <v>6</v>
      </c>
    </row>
    <row r="47" spans="1:4">
      <c r="A47" t="s">
        <v>96</v>
      </c>
      <c r="B47" s="2" t="s">
        <v>169</v>
      </c>
      <c r="C47" s="2" t="s">
        <v>171</v>
      </c>
      <c r="D47" s="3">
        <v>4</v>
      </c>
    </row>
    <row r="48" spans="1:4">
      <c r="A48" t="s">
        <v>97</v>
      </c>
      <c r="B48" s="2" t="s">
        <v>169</v>
      </c>
      <c r="C48" s="2" t="s">
        <v>194</v>
      </c>
      <c r="D48" s="3">
        <v>6</v>
      </c>
    </row>
    <row r="49" spans="1:4">
      <c r="A49" t="s">
        <v>98</v>
      </c>
      <c r="B49" s="2" t="s">
        <v>169</v>
      </c>
      <c r="C49" s="2" t="s">
        <v>151</v>
      </c>
      <c r="D49" s="3">
        <v>8</v>
      </c>
    </row>
    <row r="50" spans="1:4">
      <c r="A50" t="s">
        <v>99</v>
      </c>
      <c r="B50" s="2" t="s">
        <v>173</v>
      </c>
      <c r="C50" s="2" t="s">
        <v>196</v>
      </c>
      <c r="D50" s="3">
        <v>4</v>
      </c>
    </row>
    <row r="51" spans="1:4">
      <c r="A51" t="s">
        <v>100</v>
      </c>
      <c r="B51" s="2" t="s">
        <v>176</v>
      </c>
      <c r="C51" s="2" t="s">
        <v>178</v>
      </c>
      <c r="D51" s="3">
        <v>4</v>
      </c>
    </row>
    <row r="52" spans="1:4">
      <c r="A52" t="s">
        <v>101</v>
      </c>
      <c r="B52" s="2" t="s">
        <v>176</v>
      </c>
      <c r="C52" s="2" t="s">
        <v>198</v>
      </c>
      <c r="D52" s="3">
        <v>6</v>
      </c>
    </row>
    <row r="53" spans="1:4">
      <c r="A53" t="s">
        <v>102</v>
      </c>
      <c r="B53" s="2" t="s">
        <v>180</v>
      </c>
      <c r="C53" s="2" t="s">
        <v>200</v>
      </c>
      <c r="D53" s="3">
        <v>4</v>
      </c>
    </row>
    <row r="54" spans="1:4">
      <c r="A54" t="s">
        <v>103</v>
      </c>
      <c r="B54" s="2" t="s">
        <v>180</v>
      </c>
      <c r="C54" s="2" t="s">
        <v>207</v>
      </c>
      <c r="D54" s="3">
        <v>6</v>
      </c>
    </row>
    <row r="55" spans="1:4">
      <c r="A55" t="s">
        <v>104</v>
      </c>
      <c r="B55" s="2" t="s">
        <v>183</v>
      </c>
      <c r="C55" s="2" t="s">
        <v>185</v>
      </c>
      <c r="D55" s="3">
        <v>4</v>
      </c>
    </row>
    <row r="56" spans="1:4">
      <c r="A56" t="s">
        <v>105</v>
      </c>
      <c r="B56" s="2" t="s">
        <v>183</v>
      </c>
      <c r="C56" s="2" t="s">
        <v>202</v>
      </c>
      <c r="D56" s="3">
        <v>6</v>
      </c>
    </row>
    <row r="57" spans="1:4">
      <c r="A57" t="s">
        <v>106</v>
      </c>
      <c r="B57" s="2" t="s">
        <v>187</v>
      </c>
      <c r="C57" s="2" t="s">
        <v>204</v>
      </c>
      <c r="D57" s="3">
        <v>4</v>
      </c>
    </row>
    <row r="58" spans="1:4">
      <c r="A58" t="s">
        <v>107</v>
      </c>
      <c r="B58" s="2" t="s">
        <v>164</v>
      </c>
      <c r="C58" s="2" t="s">
        <v>190</v>
      </c>
      <c r="D58" s="3">
        <v>4</v>
      </c>
    </row>
    <row r="59" spans="1:4">
      <c r="A59" t="s">
        <v>108</v>
      </c>
      <c r="B59" s="2" t="s">
        <v>164</v>
      </c>
      <c r="C59" s="2" t="s">
        <v>205</v>
      </c>
      <c r="D59" s="3">
        <v>6</v>
      </c>
    </row>
    <row r="60" spans="1:4">
      <c r="A60" t="s">
        <v>109</v>
      </c>
      <c r="B60" s="2" t="s">
        <v>208</v>
      </c>
      <c r="C60" s="2" t="s">
        <v>209</v>
      </c>
      <c r="D60" s="3">
        <v>6</v>
      </c>
    </row>
    <row r="61" spans="1:4">
      <c r="A61" t="s">
        <v>110</v>
      </c>
      <c r="B61" s="2" t="s">
        <v>168</v>
      </c>
      <c r="C61" s="2" t="s">
        <v>206</v>
      </c>
      <c r="D61" s="3">
        <v>4</v>
      </c>
    </row>
    <row r="62" spans="1:4">
      <c r="A62" t="s">
        <v>111</v>
      </c>
      <c r="B62" s="2" t="s">
        <v>170</v>
      </c>
      <c r="C62" s="2" t="s">
        <v>194</v>
      </c>
      <c r="D62" s="3">
        <v>4</v>
      </c>
    </row>
    <row r="63" spans="1:4">
      <c r="A63" t="s">
        <v>112</v>
      </c>
      <c r="B63" s="2" t="s">
        <v>170</v>
      </c>
      <c r="C63" s="2" t="s">
        <v>151</v>
      </c>
      <c r="D63" s="3">
        <v>6</v>
      </c>
    </row>
    <row r="64" spans="1:4">
      <c r="A64" t="s">
        <v>113</v>
      </c>
      <c r="B64" s="2" t="s">
        <v>177</v>
      </c>
      <c r="C64" s="2" t="s">
        <v>198</v>
      </c>
      <c r="D64" s="3">
        <v>4</v>
      </c>
    </row>
    <row r="65" spans="1:4">
      <c r="A65" t="s">
        <v>114</v>
      </c>
      <c r="B65" s="2" t="s">
        <v>181</v>
      </c>
      <c r="C65" s="2" t="s">
        <v>207</v>
      </c>
      <c r="D65" s="3">
        <v>4</v>
      </c>
    </row>
    <row r="66" spans="1:4">
      <c r="A66" t="s">
        <v>115</v>
      </c>
      <c r="B66" s="2" t="s">
        <v>184</v>
      </c>
      <c r="C66" s="2" t="s">
        <v>202</v>
      </c>
      <c r="D66" s="3">
        <v>4</v>
      </c>
    </row>
    <row r="67" spans="1:4">
      <c r="A67" t="s">
        <v>116</v>
      </c>
      <c r="B67" s="2" t="s">
        <v>165</v>
      </c>
      <c r="C67" s="2" t="s">
        <v>205</v>
      </c>
      <c r="D67" s="3">
        <v>4</v>
      </c>
    </row>
    <row r="68" spans="1:4">
      <c r="A68" t="s">
        <v>117</v>
      </c>
      <c r="B68" s="2" t="s">
        <v>171</v>
      </c>
      <c r="C68" s="2" t="s">
        <v>151</v>
      </c>
      <c r="D68" s="3">
        <v>4</v>
      </c>
    </row>
    <row r="69" spans="1:4">
      <c r="A69" t="s">
        <v>118</v>
      </c>
      <c r="B69" s="2" t="s">
        <v>174</v>
      </c>
      <c r="C69" s="2" t="s">
        <v>210</v>
      </c>
      <c r="D69" s="3">
        <v>4</v>
      </c>
    </row>
    <row r="70" spans="1:4">
      <c r="A70" t="s">
        <v>119</v>
      </c>
      <c r="B70" s="2" t="s">
        <v>187</v>
      </c>
      <c r="C70" s="2" t="s">
        <v>211</v>
      </c>
      <c r="D70" s="3">
        <v>6</v>
      </c>
    </row>
    <row r="71" spans="1:4">
      <c r="A71" t="s">
        <v>120</v>
      </c>
      <c r="B71" s="2" t="s">
        <v>168</v>
      </c>
      <c r="C71" s="2" t="s">
        <v>212</v>
      </c>
      <c r="D71" s="3">
        <v>6</v>
      </c>
    </row>
    <row r="72" spans="1:4">
      <c r="A72" t="s">
        <v>121</v>
      </c>
      <c r="B72" s="2" t="s">
        <v>192</v>
      </c>
      <c r="C72" s="2" t="s">
        <v>212</v>
      </c>
      <c r="D72" s="3">
        <v>4</v>
      </c>
    </row>
    <row r="73" spans="1:4">
      <c r="A73" t="s">
        <v>122</v>
      </c>
      <c r="B73" s="2" t="s">
        <v>213</v>
      </c>
      <c r="C73" s="2" t="s">
        <v>214</v>
      </c>
      <c r="D73" s="3">
        <v>6</v>
      </c>
    </row>
    <row r="74" spans="1:4">
      <c r="A74" t="s">
        <v>123</v>
      </c>
      <c r="B74" s="2" t="s">
        <v>215</v>
      </c>
      <c r="C74" s="2" t="s">
        <v>216</v>
      </c>
      <c r="D74" s="3">
        <v>6</v>
      </c>
    </row>
    <row r="75" spans="1:4">
      <c r="A75" t="s">
        <v>124</v>
      </c>
      <c r="B75" s="2" t="s">
        <v>173</v>
      </c>
      <c r="C75" s="2" t="s">
        <v>210</v>
      </c>
      <c r="D75" s="3">
        <v>6</v>
      </c>
    </row>
    <row r="76" spans="1:4">
      <c r="A76" t="s">
        <v>125</v>
      </c>
      <c r="B76" s="2" t="s">
        <v>162</v>
      </c>
      <c r="C76" s="2" t="s">
        <v>163</v>
      </c>
      <c r="D76" s="3">
        <v>4</v>
      </c>
    </row>
    <row r="77" spans="1:4">
      <c r="A77" t="s">
        <v>126</v>
      </c>
      <c r="B77" s="2" t="s">
        <v>188</v>
      </c>
      <c r="C77" s="2" t="s">
        <v>211</v>
      </c>
      <c r="D77" s="3">
        <v>4</v>
      </c>
    </row>
    <row r="78" spans="1:4">
      <c r="A78" t="s">
        <v>127</v>
      </c>
      <c r="B78" s="2" t="s">
        <v>166</v>
      </c>
      <c r="C78" s="2" t="s">
        <v>192</v>
      </c>
      <c r="D78" s="3">
        <v>8</v>
      </c>
    </row>
    <row r="79" spans="1:4">
      <c r="A79" t="s">
        <v>128</v>
      </c>
      <c r="B79" s="2" t="s">
        <v>172</v>
      </c>
      <c r="C79" s="2" t="s">
        <v>196</v>
      </c>
      <c r="D79" s="3">
        <v>8</v>
      </c>
    </row>
    <row r="80" spans="1:4">
      <c r="A80" t="s">
        <v>129</v>
      </c>
      <c r="B80" s="2" t="s">
        <v>179</v>
      </c>
      <c r="C80" s="2" t="s">
        <v>200</v>
      </c>
      <c r="D80" s="3">
        <v>8</v>
      </c>
    </row>
    <row r="81" spans="1:4">
      <c r="A81" t="s">
        <v>130</v>
      </c>
      <c r="B81" s="2" t="s">
        <v>186</v>
      </c>
      <c r="C81" s="2" t="s">
        <v>204</v>
      </c>
      <c r="D81" s="3">
        <v>8</v>
      </c>
    </row>
    <row r="82" spans="1:4">
      <c r="A82" t="s">
        <v>131</v>
      </c>
      <c r="B82" s="2" t="s">
        <v>191</v>
      </c>
      <c r="C82" s="2" t="s">
        <v>206</v>
      </c>
      <c r="D82" s="3">
        <v>8</v>
      </c>
    </row>
    <row r="83" spans="1:4">
      <c r="A83" t="s">
        <v>132</v>
      </c>
      <c r="B83" s="2" t="s">
        <v>195</v>
      </c>
      <c r="C83" s="2" t="s">
        <v>210</v>
      </c>
      <c r="D83" s="3">
        <v>8</v>
      </c>
    </row>
    <row r="84" spans="1:4">
      <c r="A84" t="s">
        <v>133</v>
      </c>
      <c r="B84" s="2" t="s">
        <v>199</v>
      </c>
      <c r="C84" s="2" t="s">
        <v>207</v>
      </c>
      <c r="D84" s="3">
        <v>8</v>
      </c>
    </row>
    <row r="85" spans="1:4">
      <c r="A85" t="s">
        <v>134</v>
      </c>
      <c r="B85" s="2" t="s">
        <v>203</v>
      </c>
      <c r="C85" s="2" t="s">
        <v>211</v>
      </c>
      <c r="D85" s="3">
        <v>8</v>
      </c>
    </row>
    <row r="86" spans="1:4">
      <c r="A86" t="s">
        <v>135</v>
      </c>
      <c r="B86" s="2" t="s">
        <v>167</v>
      </c>
      <c r="C86" s="2" t="s">
        <v>212</v>
      </c>
      <c r="D86" s="3">
        <v>8</v>
      </c>
    </row>
    <row r="87" spans="1:4">
      <c r="A87" t="s">
        <v>136</v>
      </c>
      <c r="B87" s="2" t="s">
        <v>162</v>
      </c>
      <c r="C87" s="2" t="s">
        <v>164</v>
      </c>
      <c r="D87" s="3">
        <v>6</v>
      </c>
    </row>
    <row r="88" spans="1:4">
      <c r="A88" t="s">
        <v>137</v>
      </c>
      <c r="B88" s="2" t="s">
        <v>162</v>
      </c>
      <c r="C88" s="2" t="s">
        <v>165</v>
      </c>
      <c r="D88" s="3">
        <v>8</v>
      </c>
    </row>
    <row r="89" spans="1:4">
      <c r="A89" t="s">
        <v>138</v>
      </c>
      <c r="B89" s="2" t="s">
        <v>161</v>
      </c>
      <c r="C89" s="2" t="s">
        <v>169</v>
      </c>
      <c r="D89" s="3">
        <v>4</v>
      </c>
    </row>
    <row r="90" spans="1:4">
      <c r="A90" t="s">
        <v>139</v>
      </c>
      <c r="B90" s="2" t="s">
        <v>161</v>
      </c>
      <c r="C90" s="2" t="s">
        <v>170</v>
      </c>
      <c r="D90" s="3">
        <v>6</v>
      </c>
    </row>
    <row r="91" spans="1:4">
      <c r="A91" t="s">
        <v>140</v>
      </c>
      <c r="B91" s="2" t="s">
        <v>161</v>
      </c>
      <c r="C91" s="2" t="s">
        <v>171</v>
      </c>
      <c r="D91" s="3">
        <v>8</v>
      </c>
    </row>
    <row r="92" spans="1:4">
      <c r="A92" t="s">
        <v>141</v>
      </c>
      <c r="B92" s="2" t="s">
        <v>175</v>
      </c>
      <c r="C92" s="2" t="s">
        <v>178</v>
      </c>
      <c r="D92" s="3">
        <v>8</v>
      </c>
    </row>
    <row r="93" spans="1:4">
      <c r="A93" t="s">
        <v>142</v>
      </c>
      <c r="B93" s="2" t="s">
        <v>182</v>
      </c>
      <c r="C93" s="2" t="s">
        <v>185</v>
      </c>
      <c r="D93" s="3">
        <v>8</v>
      </c>
    </row>
    <row r="94" spans="1:4">
      <c r="A94" t="s">
        <v>143</v>
      </c>
      <c r="B94" s="2" t="s">
        <v>193</v>
      </c>
      <c r="C94" s="2" t="s">
        <v>171</v>
      </c>
      <c r="D94" s="3">
        <v>6</v>
      </c>
    </row>
    <row r="95" spans="1:4">
      <c r="A95" t="s">
        <v>144</v>
      </c>
      <c r="B95" s="2" t="s">
        <v>193</v>
      </c>
      <c r="C95" s="2" t="s">
        <v>194</v>
      </c>
      <c r="D95" s="3">
        <v>8</v>
      </c>
    </row>
    <row r="96" spans="1:4">
      <c r="A96" t="s">
        <v>145</v>
      </c>
      <c r="B96" s="2" t="s">
        <v>197</v>
      </c>
      <c r="C96" s="2" t="s">
        <v>198</v>
      </c>
      <c r="D96" s="3">
        <v>8</v>
      </c>
    </row>
    <row r="97" spans="1:4">
      <c r="A97" t="s">
        <v>146</v>
      </c>
      <c r="B97" s="2" t="s">
        <v>201</v>
      </c>
      <c r="C97" s="2" t="s">
        <v>202</v>
      </c>
      <c r="D97" s="3">
        <v>8</v>
      </c>
    </row>
    <row r="98" spans="1:4">
      <c r="A98" t="s">
        <v>147</v>
      </c>
      <c r="B98" s="2" t="s">
        <v>163</v>
      </c>
      <c r="C98" s="2" t="s">
        <v>205</v>
      </c>
      <c r="D98" s="3">
        <v>8</v>
      </c>
    </row>
    <row r="99" spans="1:4">
      <c r="A99" t="s">
        <v>148</v>
      </c>
      <c r="B99" s="2" t="s">
        <v>169</v>
      </c>
      <c r="C99" s="2" t="s">
        <v>151</v>
      </c>
      <c r="D99" s="3">
        <v>8</v>
      </c>
    </row>
    <row r="100" spans="1:4">
      <c r="A100" t="s">
        <v>149</v>
      </c>
      <c r="B100" s="2" t="s">
        <v>183</v>
      </c>
      <c r="C100" s="2" t="s">
        <v>202</v>
      </c>
      <c r="D100" s="3">
        <v>6</v>
      </c>
    </row>
    <row r="101" spans="1:4">
      <c r="A101" t="s">
        <v>150</v>
      </c>
      <c r="B101" s="2" t="s">
        <v>199</v>
      </c>
      <c r="C101" s="2" t="s">
        <v>207</v>
      </c>
      <c r="D101" s="3">
        <v>8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51232-DE35-4AFA-A353-AF5CBD54AEA2}">
  <sheetPr codeName="Foglio2"/>
  <dimension ref="A1:R144"/>
  <sheetViews>
    <sheetView zoomScale="70" zoomScaleNormal="70" workbookViewId="0">
      <selection activeCell="B2" sqref="B2:F64"/>
    </sheetView>
  </sheetViews>
  <sheetFormatPr defaultRowHeight="14.25"/>
  <cols>
    <col min="1" max="1" width="20.06640625" bestFit="1" customWidth="1"/>
    <col min="2" max="2" width="33.9296875" bestFit="1" customWidth="1"/>
    <col min="5" max="6" width="8.73046875" style="7"/>
    <col min="7" max="8" width="8.73046875" customWidth="1"/>
    <col min="9" max="9" width="17.796875" customWidth="1"/>
    <col min="10" max="10" width="55.9296875" customWidth="1"/>
    <col min="11" max="11" width="8.73046875" customWidth="1"/>
  </cols>
  <sheetData>
    <row r="1" spans="1:18">
      <c r="A1" t="s">
        <v>231</v>
      </c>
      <c r="B1" t="s">
        <v>226</v>
      </c>
      <c r="C1" t="s">
        <v>225</v>
      </c>
      <c r="D1" t="s">
        <v>224</v>
      </c>
      <c r="E1" s="7" t="s">
        <v>227</v>
      </c>
      <c r="F1" s="7" t="s">
        <v>228</v>
      </c>
      <c r="G1" t="s">
        <v>432</v>
      </c>
      <c r="H1" t="s">
        <v>412</v>
      </c>
      <c r="I1" t="s">
        <v>558</v>
      </c>
      <c r="J1" t="s">
        <v>544</v>
      </c>
    </row>
    <row r="2" spans="1:18">
      <c r="A2" t="s">
        <v>413</v>
      </c>
      <c r="B2" t="s">
        <v>434</v>
      </c>
      <c r="C2">
        <v>4</v>
      </c>
      <c r="D2">
        <v>2</v>
      </c>
      <c r="E2" s="7">
        <v>0.625</v>
      </c>
      <c r="F2" s="7">
        <v>0.875</v>
      </c>
      <c r="G2" s="6"/>
      <c r="H2" s="8"/>
      <c r="I2" s="8" t="s">
        <v>545</v>
      </c>
      <c r="K2" t="str">
        <f>+_xlfn.XLOOKUP(B2,[1]MATRICE!$AM:$AM,[1]MATRICE!$SR:$SR)</f>
        <v>libero</v>
      </c>
      <c r="L2" t="str">
        <f ca="1">+_xlfn.XLOOKUP($B2,settimana!$A:$A,settimana!B:B)</f>
        <v>Riposo</v>
      </c>
      <c r="M2" t="str">
        <f ca="1">+_xlfn.XLOOKUP($B2,settimana!$A:$A,settimana!C:C)</f>
        <v>Riposo</v>
      </c>
      <c r="N2" t="str">
        <f ca="1">+_xlfn.XLOOKUP($B2,settimana!$A:$A,settimana!D:D)</f>
        <v>Riposo</v>
      </c>
      <c r="O2" t="str">
        <f ca="1">+_xlfn.XLOOKUP($B2,settimana!$A:$A,settimana!E:E)</f>
        <v>Riposo</v>
      </c>
      <c r="P2" t="str">
        <f ca="1">+_xlfn.XLOOKUP($B2,settimana!$A:$A,settimana!F:F)</f>
        <v>Riposo</v>
      </c>
      <c r="Q2" t="str">
        <f ca="1">+_xlfn.XLOOKUP($B2,settimana!$A:$A,settimana!G:G)</f>
        <v>Riposo</v>
      </c>
      <c r="R2" t="str">
        <f ca="1">+_xlfn.XLOOKUP($B2,settimana!$A:$A,settimana!H:H)</f>
        <v>Riposo</v>
      </c>
    </row>
    <row r="3" spans="1:18">
      <c r="A3" t="s">
        <v>152</v>
      </c>
      <c r="B3" t="s">
        <v>435</v>
      </c>
      <c r="C3">
        <v>4</v>
      </c>
      <c r="D3">
        <v>2</v>
      </c>
      <c r="E3" s="7">
        <v>0.375</v>
      </c>
      <c r="F3" s="7">
        <v>0.625</v>
      </c>
      <c r="G3" s="6"/>
      <c r="H3" s="6"/>
      <c r="I3" s="8" t="s">
        <v>546</v>
      </c>
      <c r="K3" t="str">
        <f>+_xlfn.XLOOKUP(B3,[1]MATRICE!$AM:$AM,[1]MATRICE!$SR:$SR)</f>
        <v>libero</v>
      </c>
      <c r="L3" t="str">
        <f ca="1">+_xlfn.XLOOKUP($B3,settimana!$A:$A,settimana!B:B)</f>
        <v>Riposo</v>
      </c>
      <c r="M3" t="str">
        <f ca="1">+_xlfn.XLOOKUP($B3,settimana!$A:$A,settimana!C:C)</f>
        <v>Riposo</v>
      </c>
      <c r="N3" t="str">
        <f ca="1">+_xlfn.XLOOKUP($B3,settimana!$A:$A,settimana!D:D)</f>
        <v>Riposo</v>
      </c>
      <c r="O3" t="str">
        <f ca="1">+_xlfn.XLOOKUP($B3,settimana!$A:$A,settimana!E:E)</f>
        <v>Riposo</v>
      </c>
      <c r="P3" t="str">
        <f ca="1">+_xlfn.XLOOKUP($B3,settimana!$A:$A,settimana!F:F)</f>
        <v>Riposo</v>
      </c>
      <c r="Q3" t="str">
        <f ca="1">+_xlfn.XLOOKUP($B3,settimana!$A:$A,settimana!G:G)</f>
        <v>Riposo</v>
      </c>
      <c r="R3" t="str">
        <f ca="1">+_xlfn.XLOOKUP($B3,settimana!$A:$A,settimana!H:H)</f>
        <v>Riposo</v>
      </c>
    </row>
    <row r="4" spans="1:18">
      <c r="A4" t="s">
        <v>153</v>
      </c>
      <c r="B4" t="s">
        <v>436</v>
      </c>
      <c r="C4">
        <v>4</v>
      </c>
      <c r="D4">
        <v>2</v>
      </c>
      <c r="E4" s="7">
        <v>0.375</v>
      </c>
      <c r="F4" s="7">
        <v>0.54166666666666663</v>
      </c>
      <c r="G4" s="6"/>
      <c r="H4" s="6"/>
      <c r="I4" s="8" t="s">
        <v>545</v>
      </c>
      <c r="J4" t="s">
        <v>532</v>
      </c>
      <c r="K4" t="str">
        <f>+_xlfn.XLOOKUP(B4,[1]MATRICE!$AM:$AM,[1]MATRICE!$SR:$SR)</f>
        <v>libero</v>
      </c>
    </row>
    <row r="5" spans="1:18">
      <c r="A5" t="s">
        <v>414</v>
      </c>
      <c r="B5" t="s">
        <v>437</v>
      </c>
      <c r="C5">
        <v>4</v>
      </c>
      <c r="D5">
        <v>2</v>
      </c>
      <c r="E5" s="7">
        <v>0.375</v>
      </c>
      <c r="F5" s="7">
        <v>0.54166666666666663</v>
      </c>
      <c r="G5" s="6"/>
      <c r="H5" s="6"/>
      <c r="I5" s="8" t="s">
        <v>545</v>
      </c>
      <c r="J5" t="s">
        <v>533</v>
      </c>
      <c r="K5" t="str">
        <f>+_xlfn.XLOOKUP(B5,[1]MATRICE!$AM:$AM,[1]MATRICE!$SR:$SR)</f>
        <v>libero</v>
      </c>
    </row>
    <row r="6" spans="1:18">
      <c r="A6" t="s">
        <v>415</v>
      </c>
      <c r="B6" t="s">
        <v>438</v>
      </c>
      <c r="C6">
        <v>4</v>
      </c>
      <c r="D6">
        <v>2</v>
      </c>
      <c r="E6" s="7">
        <v>0.375</v>
      </c>
      <c r="F6" s="7">
        <v>0.54166666666666663</v>
      </c>
      <c r="G6" s="6"/>
      <c r="H6" s="6"/>
      <c r="I6" s="8" t="s">
        <v>546</v>
      </c>
      <c r="J6" t="s">
        <v>532</v>
      </c>
      <c r="K6" t="str">
        <f>+_xlfn.XLOOKUP(B6,[1]MATRICE!$AM:$AM,[1]MATRICE!$SR:$SR)</f>
        <v>libero</v>
      </c>
    </row>
    <row r="7" spans="1:18">
      <c r="A7" t="s">
        <v>154</v>
      </c>
      <c r="B7" t="s">
        <v>439</v>
      </c>
      <c r="C7">
        <v>4</v>
      </c>
      <c r="D7">
        <v>2</v>
      </c>
      <c r="E7" s="7">
        <v>0.375</v>
      </c>
      <c r="F7" s="7">
        <v>0.54166666666666663</v>
      </c>
      <c r="G7" s="6"/>
      <c r="H7" s="6"/>
      <c r="I7" s="8" t="s">
        <v>546</v>
      </c>
      <c r="J7" t="s">
        <v>532</v>
      </c>
      <c r="K7" t="str">
        <f>+_xlfn.XLOOKUP(B7,[1]MATRICE!$AM:$AM,[1]MATRICE!$SR:$SR)</f>
        <v>libero</v>
      </c>
    </row>
    <row r="8" spans="1:18">
      <c r="A8" t="s">
        <v>416</v>
      </c>
      <c r="B8" t="s">
        <v>440</v>
      </c>
      <c r="C8">
        <v>4</v>
      </c>
      <c r="D8">
        <v>2</v>
      </c>
      <c r="E8" s="7">
        <v>0.375</v>
      </c>
      <c r="F8" s="7">
        <v>0.625</v>
      </c>
      <c r="G8" s="6"/>
      <c r="H8" s="6"/>
      <c r="I8" s="8" t="s">
        <v>546</v>
      </c>
      <c r="K8" t="str">
        <f>+_xlfn.XLOOKUP(B8,[1]MATRICE!$AM:$AM,[1]MATRICE!$SR:$SR)</f>
        <v>libero</v>
      </c>
      <c r="L8" t="str">
        <f ca="1">+_xlfn.XLOOKUP($B8,settimana!$A:$A,settimana!B:B)</f>
        <v>Riposo</v>
      </c>
      <c r="M8" t="str">
        <f ca="1">+_xlfn.XLOOKUP($B8,settimana!$A:$A,settimana!C:C)</f>
        <v>Riposo</v>
      </c>
      <c r="N8" t="str">
        <f ca="1">+_xlfn.XLOOKUP($B8,settimana!$A:$A,settimana!D:D)</f>
        <v>Riposo</v>
      </c>
      <c r="O8" t="str">
        <f ca="1">+_xlfn.XLOOKUP($B8,settimana!$A:$A,settimana!E:E)</f>
        <v>Riposo</v>
      </c>
      <c r="P8" t="str">
        <f ca="1">+_xlfn.XLOOKUP($B8,settimana!$A:$A,settimana!F:F)</f>
        <v>Riposo</v>
      </c>
      <c r="Q8" t="str">
        <f ca="1">+_xlfn.XLOOKUP($B8,settimana!$A:$A,settimana!G:G)</f>
        <v>Riposo</v>
      </c>
      <c r="R8" t="str">
        <f ca="1">+_xlfn.XLOOKUP($B8,settimana!$A:$A,settimana!H:H)</f>
        <v>Riposo</v>
      </c>
    </row>
    <row r="9" spans="1:18">
      <c r="A9" t="s">
        <v>155</v>
      </c>
      <c r="B9" t="s">
        <v>441</v>
      </c>
      <c r="C9">
        <v>4</v>
      </c>
      <c r="D9">
        <v>2</v>
      </c>
      <c r="E9" s="7">
        <v>0.375</v>
      </c>
      <c r="F9" s="7">
        <v>0.625</v>
      </c>
      <c r="G9" s="6"/>
      <c r="H9" s="6"/>
      <c r="I9" s="8" t="s">
        <v>547</v>
      </c>
      <c r="K9" t="str">
        <f>+_xlfn.XLOOKUP(B9,[1]MATRICE!$AM:$AM,[1]MATRICE!$SR:$SR)</f>
        <v>libero</v>
      </c>
      <c r="L9" t="str">
        <f ca="1">+_xlfn.XLOOKUP($B9,settimana!$A:$A,settimana!B:B)</f>
        <v>Riposo</v>
      </c>
      <c r="M9" t="str">
        <f ca="1">+_xlfn.XLOOKUP($B9,settimana!$A:$A,settimana!C:C)</f>
        <v>Riposo</v>
      </c>
      <c r="N9" t="str">
        <f ca="1">+_xlfn.XLOOKUP($B9,settimana!$A:$A,settimana!D:D)</f>
        <v>Riposo</v>
      </c>
      <c r="O9" t="str">
        <f ca="1">+_xlfn.XLOOKUP($B9,settimana!$A:$A,settimana!E:E)</f>
        <v>Riposo</v>
      </c>
      <c r="P9" t="str">
        <f ca="1">+_xlfn.XLOOKUP($B9,settimana!$A:$A,settimana!F:F)</f>
        <v>Riposo</v>
      </c>
      <c r="Q9" t="str">
        <f ca="1">+_xlfn.XLOOKUP($B9,settimana!$A:$A,settimana!G:G)</f>
        <v>Riposo</v>
      </c>
      <c r="R9" t="str">
        <f ca="1">+_xlfn.XLOOKUP($B9,settimana!$A:$A,settimana!H:H)</f>
        <v>Riposo</v>
      </c>
    </row>
    <row r="10" spans="1:18">
      <c r="A10" t="s">
        <v>417</v>
      </c>
      <c r="B10" t="s">
        <v>442</v>
      </c>
      <c r="C10">
        <v>4</v>
      </c>
      <c r="D10">
        <v>2</v>
      </c>
      <c r="E10" s="7">
        <v>0.375</v>
      </c>
      <c r="F10" s="7">
        <v>0.625</v>
      </c>
      <c r="G10" s="6"/>
      <c r="H10" s="6"/>
      <c r="I10" s="8" t="s">
        <v>548</v>
      </c>
      <c r="K10" t="str">
        <f>+_xlfn.XLOOKUP(B10,[1]MATRICE!$AM:$AM,[1]MATRICE!$SR:$SR)</f>
        <v>libero</v>
      </c>
      <c r="L10" t="str">
        <f ca="1">+_xlfn.XLOOKUP($B10,settimana!$A:$A,settimana!B:B)</f>
        <v>Riposo</v>
      </c>
      <c r="M10" t="str">
        <f ca="1">+_xlfn.XLOOKUP($B10,settimana!$A:$A,settimana!C:C)</f>
        <v>Riposo</v>
      </c>
      <c r="N10" t="str">
        <f ca="1">+_xlfn.XLOOKUP($B10,settimana!$A:$A,settimana!D:D)</f>
        <v>Riposo</v>
      </c>
      <c r="O10" t="str">
        <f ca="1">+_xlfn.XLOOKUP($B10,settimana!$A:$A,settimana!E:E)</f>
        <v>Riposo</v>
      </c>
      <c r="P10" t="str">
        <f ca="1">+_xlfn.XLOOKUP($B10,settimana!$A:$A,settimana!F:F)</f>
        <v>Riposo</v>
      </c>
      <c r="Q10" t="str">
        <f ca="1">+_xlfn.XLOOKUP($B10,settimana!$A:$A,settimana!G:G)</f>
        <v>Riposo</v>
      </c>
      <c r="R10" t="str">
        <f ca="1">+_xlfn.XLOOKUP($B10,settimana!$A:$A,settimana!H:H)</f>
        <v>Riposo</v>
      </c>
    </row>
    <row r="11" spans="1:18">
      <c r="A11" t="s">
        <v>418</v>
      </c>
      <c r="B11" t="s">
        <v>443</v>
      </c>
      <c r="C11">
        <v>4</v>
      </c>
      <c r="D11">
        <v>2</v>
      </c>
      <c r="E11" s="7">
        <v>0.625</v>
      </c>
      <c r="F11" s="7">
        <v>0.875</v>
      </c>
      <c r="G11" s="6"/>
      <c r="H11" s="6"/>
      <c r="I11" s="8" t="s">
        <v>549</v>
      </c>
      <c r="K11" t="str">
        <f>+_xlfn.XLOOKUP(B11,[1]MATRICE!$AM:$AM,[1]MATRICE!$SR:$SR)</f>
        <v>libero</v>
      </c>
      <c r="L11" t="str">
        <f ca="1">+_xlfn.XLOOKUP($B11,settimana!$A:$A,settimana!B:B)</f>
        <v>Riposo</v>
      </c>
      <c r="M11" t="str">
        <f ca="1">+_xlfn.XLOOKUP($B11,settimana!$A:$A,settimana!C:C)</f>
        <v>Riposo</v>
      </c>
      <c r="N11" t="str">
        <f ca="1">+_xlfn.XLOOKUP($B11,settimana!$A:$A,settimana!D:D)</f>
        <v>Riposo</v>
      </c>
      <c r="O11" t="str">
        <f ca="1">+_xlfn.XLOOKUP($B11,settimana!$A:$A,settimana!E:E)</f>
        <v>Riposo</v>
      </c>
      <c r="P11" t="str">
        <f ca="1">+_xlfn.XLOOKUP($B11,settimana!$A:$A,settimana!F:F)</f>
        <v>Riposo</v>
      </c>
      <c r="Q11" t="str">
        <f ca="1">+_xlfn.XLOOKUP($B11,settimana!$A:$A,settimana!G:G)</f>
        <v>Riposo</v>
      </c>
      <c r="R11" t="str">
        <f ca="1">+_xlfn.XLOOKUP($B11,settimana!$A:$A,settimana!H:H)</f>
        <v>Riposo</v>
      </c>
    </row>
    <row r="12" spans="1:18">
      <c r="A12" t="s">
        <v>419</v>
      </c>
      <c r="B12" t="s">
        <v>444</v>
      </c>
      <c r="C12">
        <v>4</v>
      </c>
      <c r="D12">
        <v>2</v>
      </c>
      <c r="E12" s="7">
        <v>0.375</v>
      </c>
      <c r="F12" s="7">
        <v>0.625</v>
      </c>
      <c r="G12" s="6" t="s">
        <v>559</v>
      </c>
      <c r="H12" s="6" t="s">
        <v>559</v>
      </c>
      <c r="I12" s="8" t="s">
        <v>546</v>
      </c>
      <c r="K12" t="str">
        <f>+_xlfn.XLOOKUP(B12,[1]MATRICE!$AM:$AM,[1]MATRICE!$SR:$SR)</f>
        <v>libero</v>
      </c>
      <c r="L12" t="str">
        <f ca="1">+_xlfn.XLOOKUP($B12,settimana!$A:$A,settimana!B:B)</f>
        <v>Riposo</v>
      </c>
      <c r="M12" t="str">
        <f ca="1">+_xlfn.XLOOKUP($B12,settimana!$A:$A,settimana!C:C)</f>
        <v>Riposo</v>
      </c>
      <c r="N12" t="str">
        <f ca="1">+_xlfn.XLOOKUP($B12,settimana!$A:$A,settimana!D:D)</f>
        <v>Riposo</v>
      </c>
      <c r="O12" t="str">
        <f ca="1">+_xlfn.XLOOKUP($B12,settimana!$A:$A,settimana!E:E)</f>
        <v>Riposo</v>
      </c>
      <c r="P12" t="str">
        <f ca="1">+_xlfn.XLOOKUP($B12,settimana!$A:$A,settimana!F:F)</f>
        <v>Riposo</v>
      </c>
      <c r="Q12" t="str">
        <f ca="1">+_xlfn.XLOOKUP($B12,settimana!$A:$A,settimana!G:G)</f>
        <v>Riposo</v>
      </c>
      <c r="R12" t="str">
        <f ca="1">+_xlfn.XLOOKUP($B12,settimana!$A:$A,settimana!H:H)</f>
        <v>Riposo</v>
      </c>
    </row>
    <row r="13" spans="1:18">
      <c r="A13" t="s">
        <v>420</v>
      </c>
      <c r="B13" t="s">
        <v>445</v>
      </c>
      <c r="C13">
        <v>4</v>
      </c>
      <c r="D13">
        <v>2</v>
      </c>
      <c r="E13" s="7">
        <v>0.375</v>
      </c>
      <c r="F13" s="7">
        <v>0.54166666666666663</v>
      </c>
      <c r="G13" s="6"/>
      <c r="H13" s="6"/>
      <c r="I13" s="8" t="s">
        <v>548</v>
      </c>
      <c r="J13" t="s">
        <v>534</v>
      </c>
      <c r="K13" t="str">
        <f>+_xlfn.XLOOKUP(B13,[1]MATRICE!$AM:$AM,[1]MATRICE!$SR:$SR)</f>
        <v>libero</v>
      </c>
    </row>
    <row r="14" spans="1:18">
      <c r="A14" t="s">
        <v>156</v>
      </c>
      <c r="B14" t="s">
        <v>446</v>
      </c>
      <c r="C14">
        <v>4</v>
      </c>
      <c r="D14">
        <v>2</v>
      </c>
      <c r="E14" s="7">
        <v>0.625</v>
      </c>
      <c r="F14" s="7">
        <v>0.875</v>
      </c>
      <c r="G14" s="16" t="s">
        <v>559</v>
      </c>
      <c r="H14" s="6" t="s">
        <v>559</v>
      </c>
      <c r="I14" s="8" t="s">
        <v>550</v>
      </c>
      <c r="K14" t="str">
        <f>+_xlfn.XLOOKUP(B14,[1]MATRICE!$AM:$AM,[1]MATRICE!$SR:$SR)</f>
        <v>libero</v>
      </c>
    </row>
    <row r="15" spans="1:18">
      <c r="A15" t="s">
        <v>157</v>
      </c>
      <c r="B15" t="s">
        <v>447</v>
      </c>
      <c r="C15">
        <v>4</v>
      </c>
      <c r="D15">
        <v>2</v>
      </c>
      <c r="E15" s="7">
        <v>0.375</v>
      </c>
      <c r="F15" s="7">
        <v>0.625</v>
      </c>
      <c r="G15" s="6"/>
      <c r="H15" s="6"/>
      <c r="I15" s="8" t="s">
        <v>551</v>
      </c>
      <c r="K15" t="str">
        <f>+_xlfn.XLOOKUP(B15,[1]MATRICE!$AM:$AM,[1]MATRICE!$SR:$SR)</f>
        <v>libero</v>
      </c>
      <c r="L15" t="str">
        <f ca="1">+_xlfn.XLOOKUP($B15,settimana!$A:$A,settimana!B:B)</f>
        <v>Riposo</v>
      </c>
      <c r="M15" t="str">
        <f ca="1">+_xlfn.XLOOKUP($B15,settimana!$A:$A,settimana!C:C)</f>
        <v>Riposo</v>
      </c>
      <c r="N15" t="str">
        <f ca="1">+_xlfn.XLOOKUP($B15,settimana!$A:$A,settimana!D:D)</f>
        <v>Riposo</v>
      </c>
      <c r="O15" t="str">
        <f ca="1">+_xlfn.XLOOKUP($B15,settimana!$A:$A,settimana!E:E)</f>
        <v>Riposo</v>
      </c>
      <c r="P15" t="str">
        <f ca="1">+_xlfn.XLOOKUP($B15,settimana!$A:$A,settimana!F:F)</f>
        <v>Riposo</v>
      </c>
      <c r="Q15" t="str">
        <f ca="1">+_xlfn.XLOOKUP($B15,settimana!$A:$A,settimana!G:G)</f>
        <v>Riposo</v>
      </c>
      <c r="R15" t="str">
        <f ca="1">+_xlfn.XLOOKUP($B15,settimana!$A:$A,settimana!H:H)</f>
        <v>Riposo</v>
      </c>
    </row>
    <row r="16" spans="1:18">
      <c r="A16" t="s">
        <v>421</v>
      </c>
      <c r="B16" t="s">
        <v>448</v>
      </c>
      <c r="C16">
        <v>4</v>
      </c>
      <c r="D16">
        <v>2</v>
      </c>
      <c r="E16" s="7">
        <v>0.625</v>
      </c>
      <c r="F16" s="7">
        <v>0.875</v>
      </c>
      <c r="G16" s="6"/>
      <c r="H16" s="6"/>
      <c r="I16" s="8" t="s">
        <v>551</v>
      </c>
      <c r="K16" t="str">
        <f>+_xlfn.XLOOKUP(B16,[1]MATRICE!$AM:$AM,[1]MATRICE!$SR:$SR)</f>
        <v>libero</v>
      </c>
      <c r="L16" t="str">
        <f ca="1">+_xlfn.XLOOKUP($B16,settimana!$A:$A,settimana!B:B)</f>
        <v>Riposo</v>
      </c>
      <c r="M16" t="str">
        <f ca="1">+_xlfn.XLOOKUP($B16,settimana!$A:$A,settimana!C:C)</f>
        <v>Riposo</v>
      </c>
      <c r="N16" t="str">
        <f ca="1">+_xlfn.XLOOKUP($B16,settimana!$A:$A,settimana!D:D)</f>
        <v>Riposo</v>
      </c>
      <c r="O16" t="str">
        <f ca="1">+_xlfn.XLOOKUP($B16,settimana!$A:$A,settimana!E:E)</f>
        <v>Riposo</v>
      </c>
      <c r="P16" t="str">
        <f ca="1">+_xlfn.XLOOKUP($B16,settimana!$A:$A,settimana!F:F)</f>
        <v>Riposo</v>
      </c>
      <c r="Q16" t="str">
        <f ca="1">+_xlfn.XLOOKUP($B16,settimana!$A:$A,settimana!G:G)</f>
        <v>Riposo</v>
      </c>
      <c r="R16" t="str">
        <f ca="1">+_xlfn.XLOOKUP($B16,settimana!$A:$A,settimana!H:H)</f>
        <v>Riposo</v>
      </c>
    </row>
    <row r="17" spans="1:18">
      <c r="A17" t="s">
        <v>422</v>
      </c>
      <c r="B17" t="s">
        <v>449</v>
      </c>
      <c r="C17">
        <v>4</v>
      </c>
      <c r="D17">
        <v>2</v>
      </c>
      <c r="E17" s="7">
        <v>0.625</v>
      </c>
      <c r="F17" s="7">
        <v>0.875</v>
      </c>
      <c r="G17" s="6"/>
      <c r="H17" s="6"/>
      <c r="I17" s="8" t="s">
        <v>552</v>
      </c>
      <c r="K17" t="str">
        <f>+_xlfn.XLOOKUP(B17,[1]MATRICE!$AM:$AM,[1]MATRICE!$SR:$SR)</f>
        <v>libero</v>
      </c>
      <c r="L17" t="str">
        <f ca="1">+_xlfn.XLOOKUP($B17,settimana!$A:$A,settimana!B:B)</f>
        <v>Riposo</v>
      </c>
      <c r="M17" t="str">
        <f ca="1">+_xlfn.XLOOKUP($B17,settimana!$A:$A,settimana!C:C)</f>
        <v>Riposo</v>
      </c>
      <c r="N17" t="str">
        <f ca="1">+_xlfn.XLOOKUP($B17,settimana!$A:$A,settimana!D:D)</f>
        <v>Riposo</v>
      </c>
      <c r="O17" t="str">
        <f ca="1">+_xlfn.XLOOKUP($B17,settimana!$A:$A,settimana!E:E)</f>
        <v>Riposo</v>
      </c>
      <c r="P17" t="str">
        <f ca="1">+_xlfn.XLOOKUP($B17,settimana!$A:$A,settimana!F:F)</f>
        <v>Riposo</v>
      </c>
      <c r="Q17" t="str">
        <f ca="1">+_xlfn.XLOOKUP($B17,settimana!$A:$A,settimana!G:G)</f>
        <v>Riposo</v>
      </c>
      <c r="R17" t="str">
        <f ca="1">+_xlfn.XLOOKUP($B17,settimana!$A:$A,settimana!H:H)</f>
        <v>Riposo</v>
      </c>
    </row>
    <row r="18" spans="1:18">
      <c r="A18" t="s">
        <v>423</v>
      </c>
      <c r="B18" t="s">
        <v>450</v>
      </c>
      <c r="C18">
        <v>4</v>
      </c>
      <c r="D18">
        <v>2</v>
      </c>
      <c r="E18" s="7">
        <v>0.625</v>
      </c>
      <c r="F18" s="7">
        <v>0.875</v>
      </c>
      <c r="G18" s="6"/>
      <c r="H18" s="6"/>
      <c r="I18" s="8" t="s">
        <v>545</v>
      </c>
      <c r="K18" t="str">
        <f>+_xlfn.XLOOKUP(B18,[1]MATRICE!$AM:$AM,[1]MATRICE!$SR:$SR)</f>
        <v>libero</v>
      </c>
    </row>
    <row r="19" spans="1:18">
      <c r="A19" t="s">
        <v>424</v>
      </c>
      <c r="B19" t="s">
        <v>451</v>
      </c>
      <c r="C19">
        <v>4</v>
      </c>
      <c r="D19">
        <v>2</v>
      </c>
      <c r="E19" s="7">
        <v>0.375</v>
      </c>
      <c r="F19" s="7">
        <v>0.625</v>
      </c>
      <c r="G19" s="6" t="s">
        <v>559</v>
      </c>
      <c r="H19" s="6" t="s">
        <v>559</v>
      </c>
      <c r="I19" s="8" t="s">
        <v>545</v>
      </c>
      <c r="K19" t="str">
        <f>+_xlfn.XLOOKUP(B19,[1]MATRICE!$AM:$AM,[1]MATRICE!$SR:$SR)</f>
        <v>libero</v>
      </c>
      <c r="L19" t="str">
        <f ca="1">+_xlfn.XLOOKUP($B19,settimana!$A:$A,settimana!B:B)</f>
        <v>Riposo</v>
      </c>
      <c r="M19" t="str">
        <f ca="1">+_xlfn.XLOOKUP($B19,settimana!$A:$A,settimana!C:C)</f>
        <v>Riposo</v>
      </c>
      <c r="N19" t="str">
        <f ca="1">+_xlfn.XLOOKUP($B19,settimana!$A:$A,settimana!D:D)</f>
        <v>Riposo</v>
      </c>
      <c r="O19" t="str">
        <f ca="1">+_xlfn.XLOOKUP($B19,settimana!$A:$A,settimana!E:E)</f>
        <v>Riposo</v>
      </c>
      <c r="P19" t="str">
        <f ca="1">+_xlfn.XLOOKUP($B19,settimana!$A:$A,settimana!F:F)</f>
        <v>Riposo</v>
      </c>
      <c r="Q19" t="str">
        <f ca="1">+_xlfn.XLOOKUP($B19,settimana!$A:$A,settimana!G:G)</f>
        <v>Riposo</v>
      </c>
      <c r="R19" t="str">
        <f ca="1">+_xlfn.XLOOKUP($B19,settimana!$A:$A,settimana!H:H)</f>
        <v>Riposo</v>
      </c>
    </row>
    <row r="20" spans="1:18">
      <c r="A20" t="s">
        <v>425</v>
      </c>
      <c r="B20" t="s">
        <v>452</v>
      </c>
      <c r="C20">
        <v>4</v>
      </c>
      <c r="D20">
        <v>2</v>
      </c>
      <c r="E20" s="7">
        <v>0.375</v>
      </c>
      <c r="F20" s="7">
        <v>0.625</v>
      </c>
      <c r="G20" s="6"/>
      <c r="H20" s="6"/>
      <c r="I20" s="8" t="s">
        <v>553</v>
      </c>
      <c r="K20" t="str">
        <f>+_xlfn.XLOOKUP(B20,[1]MATRICE!$AM:$AM,[1]MATRICE!$SR:$SR)</f>
        <v>libero</v>
      </c>
      <c r="L20" t="str">
        <f ca="1">+_xlfn.XLOOKUP($B20,settimana!$A:$A,settimana!B:B)</f>
        <v>Riposo</v>
      </c>
      <c r="M20" t="str">
        <f ca="1">+_xlfn.XLOOKUP($B20,settimana!$A:$A,settimana!C:C)</f>
        <v>Riposo</v>
      </c>
      <c r="N20" t="str">
        <f ca="1">+_xlfn.XLOOKUP($B20,settimana!$A:$A,settimana!D:D)</f>
        <v>Riposo</v>
      </c>
      <c r="O20" t="str">
        <f ca="1">+_xlfn.XLOOKUP($B20,settimana!$A:$A,settimana!E:E)</f>
        <v>Riposo</v>
      </c>
      <c r="P20" t="str">
        <f ca="1">+_xlfn.XLOOKUP($B20,settimana!$A:$A,settimana!F:F)</f>
        <v>Riposo</v>
      </c>
      <c r="Q20" t="str">
        <f ca="1">+_xlfn.XLOOKUP($B20,settimana!$A:$A,settimana!G:G)</f>
        <v>Riposo</v>
      </c>
      <c r="R20" t="str">
        <f ca="1">+_xlfn.XLOOKUP($B20,settimana!$A:$A,settimana!H:H)</f>
        <v>Riposo</v>
      </c>
    </row>
    <row r="21" spans="1:18">
      <c r="A21" t="s">
        <v>426</v>
      </c>
      <c r="B21" t="s">
        <v>453</v>
      </c>
      <c r="C21">
        <v>4</v>
      </c>
      <c r="D21">
        <v>2</v>
      </c>
      <c r="E21" s="7">
        <v>0.625</v>
      </c>
      <c r="F21" s="7">
        <v>0.875</v>
      </c>
      <c r="G21" s="6"/>
      <c r="H21" s="6"/>
      <c r="I21" s="8" t="s">
        <v>548</v>
      </c>
      <c r="K21" t="str">
        <f>+_xlfn.XLOOKUP(B21,[1]MATRICE!$AM:$AM,[1]MATRICE!$SR:$SR)</f>
        <v>libero</v>
      </c>
      <c r="L21" t="str">
        <f ca="1">+_xlfn.XLOOKUP($B21,settimana!$A:$A,settimana!B:B)</f>
        <v>Riposo</v>
      </c>
      <c r="M21" t="str">
        <f ca="1">+_xlfn.XLOOKUP($B21,settimana!$A:$A,settimana!C:C)</f>
        <v>Riposo</v>
      </c>
      <c r="N21" t="str">
        <f ca="1">+_xlfn.XLOOKUP($B21,settimana!$A:$A,settimana!D:D)</f>
        <v>Riposo</v>
      </c>
      <c r="O21" t="str">
        <f ca="1">+_xlfn.XLOOKUP($B21,settimana!$A:$A,settimana!E:E)</f>
        <v>Riposo</v>
      </c>
      <c r="P21" t="str">
        <f ca="1">+_xlfn.XLOOKUP($B21,settimana!$A:$A,settimana!F:F)</f>
        <v>Riposo</v>
      </c>
      <c r="Q21" t="str">
        <f ca="1">+_xlfn.XLOOKUP($B21,settimana!$A:$A,settimana!G:G)</f>
        <v>Riposo</v>
      </c>
      <c r="R21" t="str">
        <f ca="1">+_xlfn.XLOOKUP($B21,settimana!$A:$A,settimana!H:H)</f>
        <v>Riposo</v>
      </c>
    </row>
    <row r="22" spans="1:18">
      <c r="A22" t="s">
        <v>158</v>
      </c>
      <c r="B22" t="s">
        <v>454</v>
      </c>
      <c r="C22">
        <v>4</v>
      </c>
      <c r="D22">
        <v>2</v>
      </c>
      <c r="E22" s="7">
        <v>0.625</v>
      </c>
      <c r="F22" s="7">
        <v>0.875</v>
      </c>
      <c r="G22" s="6"/>
      <c r="H22" s="6"/>
      <c r="I22" s="8" t="s">
        <v>547</v>
      </c>
      <c r="K22" t="str">
        <f>+_xlfn.XLOOKUP(B22,[1]MATRICE!$AM:$AM,[1]MATRICE!$SR:$SR)</f>
        <v>libero</v>
      </c>
    </row>
    <row r="23" spans="1:18">
      <c r="A23" t="s">
        <v>427</v>
      </c>
      <c r="B23" t="s">
        <v>455</v>
      </c>
      <c r="C23">
        <v>4</v>
      </c>
      <c r="D23">
        <v>2</v>
      </c>
      <c r="E23" s="7">
        <v>0.375</v>
      </c>
      <c r="F23" s="7">
        <v>0.625</v>
      </c>
      <c r="G23" s="6"/>
      <c r="H23" s="6"/>
      <c r="I23" s="8" t="s">
        <v>547</v>
      </c>
      <c r="K23" t="str">
        <f>+_xlfn.XLOOKUP(B23,[1]MATRICE!$AM:$AM,[1]MATRICE!$SR:$SR)</f>
        <v>libero</v>
      </c>
      <c r="L23" t="str">
        <f ca="1">+_xlfn.XLOOKUP($B23,settimana!$A:$A,settimana!B:B)</f>
        <v>Riposo</v>
      </c>
      <c r="M23" t="str">
        <f ca="1">+_xlfn.XLOOKUP($B23,settimana!$A:$A,settimana!C:C)</f>
        <v>Riposo</v>
      </c>
      <c r="N23" t="str">
        <f ca="1">+_xlfn.XLOOKUP($B23,settimana!$A:$A,settimana!D:D)</f>
        <v>Riposo</v>
      </c>
      <c r="O23" t="str">
        <f ca="1">+_xlfn.XLOOKUP($B23,settimana!$A:$A,settimana!E:E)</f>
        <v>Riposo</v>
      </c>
      <c r="P23" t="str">
        <f ca="1">+_xlfn.XLOOKUP($B23,settimana!$A:$A,settimana!F:F)</f>
        <v>Riposo</v>
      </c>
      <c r="Q23" t="str">
        <f ca="1">+_xlfn.XLOOKUP($B23,settimana!$A:$A,settimana!G:G)</f>
        <v>Riposo</v>
      </c>
      <c r="R23" t="str">
        <f ca="1">+_xlfn.XLOOKUP($B23,settimana!$A:$A,settimana!H:H)</f>
        <v>Riposo</v>
      </c>
    </row>
    <row r="24" spans="1:18">
      <c r="A24" t="s">
        <v>159</v>
      </c>
      <c r="B24" t="s">
        <v>456</v>
      </c>
      <c r="C24">
        <v>4</v>
      </c>
      <c r="D24">
        <v>2</v>
      </c>
      <c r="E24" s="7">
        <v>0.375</v>
      </c>
      <c r="F24" s="7">
        <v>0.54166666666666663</v>
      </c>
      <c r="G24" s="6"/>
      <c r="H24" s="6"/>
      <c r="I24" s="8" t="s">
        <v>550</v>
      </c>
      <c r="J24" t="s">
        <v>535</v>
      </c>
      <c r="K24" t="str">
        <f>+_xlfn.XLOOKUP(B24,[1]MATRICE!$AM:$AM,[1]MATRICE!$SR:$SR)</f>
        <v>libero</v>
      </c>
    </row>
    <row r="25" spans="1:18">
      <c r="A25" t="s">
        <v>428</v>
      </c>
      <c r="B25" t="s">
        <v>457</v>
      </c>
      <c r="C25">
        <v>4</v>
      </c>
      <c r="D25">
        <v>2</v>
      </c>
      <c r="E25" s="7">
        <v>0.625</v>
      </c>
      <c r="F25" s="7">
        <v>0.875</v>
      </c>
      <c r="G25" s="6" t="s">
        <v>559</v>
      </c>
      <c r="H25" s="6" t="s">
        <v>559</v>
      </c>
      <c r="I25" s="8" t="s">
        <v>551</v>
      </c>
      <c r="K25" t="str">
        <f>+_xlfn.XLOOKUP(B25,[1]MATRICE!$AM:$AM,[1]MATRICE!$SR:$SR)</f>
        <v>libero</v>
      </c>
      <c r="L25" t="str">
        <f ca="1">+_xlfn.XLOOKUP($B25,settimana!$A:$A,settimana!B:B)</f>
        <v>Riposo</v>
      </c>
      <c r="M25" t="str">
        <f ca="1">+_xlfn.XLOOKUP($B25,settimana!$A:$A,settimana!C:C)</f>
        <v>Riposo</v>
      </c>
      <c r="N25" t="str">
        <f ca="1">+_xlfn.XLOOKUP($B25,settimana!$A:$A,settimana!D:D)</f>
        <v>Riposo</v>
      </c>
      <c r="O25" t="str">
        <f ca="1">+_xlfn.XLOOKUP($B25,settimana!$A:$A,settimana!E:E)</f>
        <v>Riposo</v>
      </c>
      <c r="P25" t="str">
        <f ca="1">+_xlfn.XLOOKUP($B25,settimana!$A:$A,settimana!F:F)</f>
        <v>Riposo</v>
      </c>
      <c r="Q25" t="str">
        <f ca="1">+_xlfn.XLOOKUP($B25,settimana!$A:$A,settimana!G:G)</f>
        <v>Riposo</v>
      </c>
      <c r="R25" t="str">
        <f ca="1">+_xlfn.XLOOKUP($B25,settimana!$A:$A,settimana!H:H)</f>
        <v>Riposo</v>
      </c>
    </row>
    <row r="26" spans="1:18">
      <c r="A26" t="s">
        <v>429</v>
      </c>
      <c r="B26" t="s">
        <v>458</v>
      </c>
      <c r="C26">
        <v>4</v>
      </c>
      <c r="D26">
        <v>2</v>
      </c>
      <c r="E26" s="7">
        <v>0.375</v>
      </c>
      <c r="F26" s="7">
        <v>0.625</v>
      </c>
      <c r="G26" s="6"/>
      <c r="H26" s="6"/>
      <c r="I26" s="8" t="s">
        <v>545</v>
      </c>
      <c r="K26" t="str">
        <f>+_xlfn.XLOOKUP(B26,[1]MATRICE!$AM:$AM,[1]MATRICE!$SR:$SR)</f>
        <v>libero</v>
      </c>
      <c r="L26" t="str">
        <f ca="1">+_xlfn.XLOOKUP($B26,settimana!$A:$A,settimana!B:B)</f>
        <v>Riposo</v>
      </c>
      <c r="M26" t="str">
        <f ca="1">+_xlfn.XLOOKUP($B26,settimana!$A:$A,settimana!C:C)</f>
        <v>Riposo</v>
      </c>
      <c r="N26" t="str">
        <f ca="1">+_xlfn.XLOOKUP($B26,settimana!$A:$A,settimana!D:D)</f>
        <v>Riposo</v>
      </c>
      <c r="O26" t="str">
        <f ca="1">+_xlfn.XLOOKUP($B26,settimana!$A:$A,settimana!E:E)</f>
        <v>Riposo</v>
      </c>
      <c r="P26" t="str">
        <f ca="1">+_xlfn.XLOOKUP($B26,settimana!$A:$A,settimana!F:F)</f>
        <v>Riposo</v>
      </c>
      <c r="Q26" t="str">
        <f ca="1">+_xlfn.XLOOKUP($B26,settimana!$A:$A,settimana!G:G)</f>
        <v>Riposo</v>
      </c>
      <c r="R26" t="str">
        <f ca="1">+_xlfn.XLOOKUP($B26,settimana!$A:$A,settimana!H:H)</f>
        <v>Riposo</v>
      </c>
    </row>
    <row r="27" spans="1:18">
      <c r="A27" t="s">
        <v>160</v>
      </c>
      <c r="B27" t="s">
        <v>459</v>
      </c>
      <c r="C27">
        <v>4</v>
      </c>
      <c r="D27">
        <v>2</v>
      </c>
      <c r="E27" s="7">
        <v>0.375</v>
      </c>
      <c r="F27" s="7">
        <v>0.625</v>
      </c>
      <c r="G27" s="6"/>
      <c r="H27" s="6"/>
      <c r="I27" s="8" t="s">
        <v>545</v>
      </c>
      <c r="K27" t="str">
        <f>+_xlfn.XLOOKUP(B27,[1]MATRICE!$AM:$AM,[1]MATRICE!$SR:$SR)</f>
        <v>libero</v>
      </c>
      <c r="L27" t="str">
        <f ca="1">+_xlfn.XLOOKUP($B27,settimana!$A:$A,settimana!B:B)</f>
        <v>Riposo</v>
      </c>
      <c r="M27" t="str">
        <f ca="1">+_xlfn.XLOOKUP($B27,settimana!$A:$A,settimana!C:C)</f>
        <v>Riposo</v>
      </c>
      <c r="N27" t="str">
        <f ca="1">+_xlfn.XLOOKUP($B27,settimana!$A:$A,settimana!D:D)</f>
        <v>Riposo</v>
      </c>
      <c r="O27" t="str">
        <f ca="1">+_xlfn.XLOOKUP($B27,settimana!$A:$A,settimana!E:E)</f>
        <v>Riposo</v>
      </c>
      <c r="P27" t="str">
        <f ca="1">+_xlfn.XLOOKUP($B27,settimana!$A:$A,settimana!F:F)</f>
        <v>Riposo</v>
      </c>
      <c r="Q27" t="str">
        <f ca="1">+_xlfn.XLOOKUP($B27,settimana!$A:$A,settimana!G:G)</f>
        <v>Riposo</v>
      </c>
      <c r="R27" t="str">
        <f ca="1">+_xlfn.XLOOKUP($B27,settimana!$A:$A,settimana!H:H)</f>
        <v>Riposo</v>
      </c>
    </row>
    <row r="28" spans="1:18">
      <c r="A28" t="s">
        <v>430</v>
      </c>
      <c r="B28" t="s">
        <v>460</v>
      </c>
      <c r="C28">
        <v>4</v>
      </c>
      <c r="D28">
        <v>2</v>
      </c>
      <c r="E28" s="7">
        <v>0.625</v>
      </c>
      <c r="F28" s="7">
        <v>0.875</v>
      </c>
      <c r="G28" s="6"/>
      <c r="H28" s="6"/>
      <c r="I28" s="8" t="s">
        <v>549</v>
      </c>
      <c r="K28" t="str">
        <f>+_xlfn.XLOOKUP(B28,[1]MATRICE!$AM:$AM,[1]MATRICE!$SR:$SR)</f>
        <v>libero</v>
      </c>
    </row>
    <row r="29" spans="1:18">
      <c r="A29" t="s">
        <v>431</v>
      </c>
      <c r="B29" t="s">
        <v>461</v>
      </c>
      <c r="C29">
        <v>4</v>
      </c>
      <c r="D29">
        <v>2</v>
      </c>
      <c r="E29" s="7">
        <v>0.625</v>
      </c>
      <c r="F29" s="7">
        <v>0.875</v>
      </c>
      <c r="G29" s="6" t="s">
        <v>559</v>
      </c>
      <c r="H29" s="6" t="s">
        <v>559</v>
      </c>
      <c r="I29" s="8" t="s">
        <v>549</v>
      </c>
      <c r="K29" t="str">
        <f>+_xlfn.XLOOKUP(B29,[1]MATRICE!$AM:$AM,[1]MATRICE!$SR:$SR)</f>
        <v>libero</v>
      </c>
    </row>
    <row r="30" spans="1:18">
      <c r="A30" t="s">
        <v>497</v>
      </c>
      <c r="B30" t="s">
        <v>462</v>
      </c>
      <c r="C30">
        <v>4</v>
      </c>
      <c r="D30">
        <v>2</v>
      </c>
      <c r="E30" s="7">
        <v>0.375</v>
      </c>
      <c r="F30" s="7">
        <v>0.625</v>
      </c>
      <c r="G30" s="6"/>
      <c r="H30" s="6"/>
      <c r="I30" s="8" t="s">
        <v>549</v>
      </c>
      <c r="J30" t="s">
        <v>536</v>
      </c>
      <c r="K30" t="str">
        <f>+_xlfn.XLOOKUP(B30,[1]MATRICE!$AM:$AM,[1]MATRICE!$SR:$SR)</f>
        <v>libero</v>
      </c>
      <c r="L30" t="str">
        <f ca="1">+_xlfn.XLOOKUP($B30,settimana!$A:$A,settimana!B:B)</f>
        <v>Riposo</v>
      </c>
      <c r="M30" t="str">
        <f ca="1">+_xlfn.XLOOKUP($B30,settimana!$A:$A,settimana!C:C)</f>
        <v>Riposo</v>
      </c>
      <c r="N30" t="str">
        <f ca="1">+_xlfn.XLOOKUP($B30,settimana!$A:$A,settimana!D:D)</f>
        <v>Riposo</v>
      </c>
      <c r="O30" t="str">
        <f ca="1">+_xlfn.XLOOKUP($B30,settimana!$A:$A,settimana!E:E)</f>
        <v>Riposo</v>
      </c>
      <c r="P30" t="str">
        <f ca="1">+_xlfn.XLOOKUP($B30,settimana!$A:$A,settimana!F:F)</f>
        <v>Riposo</v>
      </c>
      <c r="Q30" t="str">
        <f ca="1">+_xlfn.XLOOKUP($B30,settimana!$A:$A,settimana!G:G)</f>
        <v>Riposo</v>
      </c>
      <c r="R30" t="str">
        <f ca="1">+_xlfn.XLOOKUP($B30,settimana!$A:$A,settimana!H:H)</f>
        <v>Riposo</v>
      </c>
    </row>
    <row r="31" spans="1:18">
      <c r="A31" t="s">
        <v>498</v>
      </c>
      <c r="B31" t="s">
        <v>463</v>
      </c>
      <c r="C31">
        <v>4</v>
      </c>
      <c r="D31">
        <v>2</v>
      </c>
      <c r="E31" s="7">
        <v>0.625</v>
      </c>
      <c r="F31" s="7">
        <v>0.875</v>
      </c>
      <c r="G31" s="6"/>
      <c r="H31" s="6"/>
      <c r="I31" s="8" t="s">
        <v>554</v>
      </c>
      <c r="J31" t="s">
        <v>537</v>
      </c>
      <c r="K31" t="str">
        <f>+_xlfn.XLOOKUP(B31,[1]MATRICE!$AM:$AM,[1]MATRICE!$SR:$SR)</f>
        <v>libero</v>
      </c>
      <c r="L31" t="str">
        <f ca="1">+_xlfn.XLOOKUP($B31,settimana!$A:$A,settimana!B:B)</f>
        <v>Riposo</v>
      </c>
      <c r="M31" t="str">
        <f ca="1">+_xlfn.XLOOKUP($B31,settimana!$A:$A,settimana!C:C)</f>
        <v>Riposo</v>
      </c>
      <c r="N31" t="str">
        <f ca="1">+_xlfn.XLOOKUP($B31,settimana!$A:$A,settimana!D:D)</f>
        <v>Riposo</v>
      </c>
      <c r="O31" t="str">
        <f ca="1">+_xlfn.XLOOKUP($B31,settimana!$A:$A,settimana!E:E)</f>
        <v>Riposo</v>
      </c>
      <c r="P31" t="str">
        <f ca="1">+_xlfn.XLOOKUP($B31,settimana!$A:$A,settimana!F:F)</f>
        <v>Riposo</v>
      </c>
      <c r="Q31" t="str">
        <f ca="1">+_xlfn.XLOOKUP($B31,settimana!$A:$A,settimana!G:G)</f>
        <v>Riposo</v>
      </c>
      <c r="R31" t="str">
        <f ca="1">+_xlfn.XLOOKUP($B31,settimana!$A:$A,settimana!H:H)</f>
        <v>Riposo</v>
      </c>
    </row>
    <row r="32" spans="1:18">
      <c r="A32" t="s">
        <v>499</v>
      </c>
      <c r="B32" t="s">
        <v>464</v>
      </c>
      <c r="C32">
        <v>4</v>
      </c>
      <c r="D32">
        <v>2</v>
      </c>
      <c r="E32" s="7">
        <v>0.625</v>
      </c>
      <c r="F32" s="7">
        <v>0.875</v>
      </c>
      <c r="G32" s="6"/>
      <c r="H32" s="6"/>
      <c r="I32" s="8" t="s">
        <v>545</v>
      </c>
      <c r="K32" t="str">
        <f>+_xlfn.XLOOKUP(B32,[1]MATRICE!$AM:$AM,[1]MATRICE!$SR:$SR)</f>
        <v>libero</v>
      </c>
    </row>
    <row r="33" spans="1:18">
      <c r="A33" t="s">
        <v>500</v>
      </c>
      <c r="B33" t="s">
        <v>465</v>
      </c>
      <c r="C33">
        <v>4</v>
      </c>
      <c r="D33">
        <v>2</v>
      </c>
      <c r="E33" s="7">
        <v>0.625</v>
      </c>
      <c r="F33" s="7">
        <v>0.875</v>
      </c>
      <c r="G33" s="6"/>
      <c r="H33" s="6"/>
      <c r="I33" s="8" t="s">
        <v>549</v>
      </c>
      <c r="K33" t="str">
        <f>+_xlfn.XLOOKUP(B33,[1]MATRICE!$AM:$AM,[1]MATRICE!$SR:$SR)</f>
        <v>libero</v>
      </c>
      <c r="L33" t="str">
        <f ca="1">+_xlfn.XLOOKUP($B33,settimana!$A:$A,settimana!B:B)</f>
        <v>Riposo</v>
      </c>
      <c r="M33" t="str">
        <f ca="1">+_xlfn.XLOOKUP($B33,settimana!$A:$A,settimana!C:C)</f>
        <v>Riposo</v>
      </c>
      <c r="N33" t="str">
        <f ca="1">+_xlfn.XLOOKUP($B33,settimana!$A:$A,settimana!D:D)</f>
        <v>Riposo</v>
      </c>
      <c r="O33" t="str">
        <f ca="1">+_xlfn.XLOOKUP($B33,settimana!$A:$A,settimana!E:E)</f>
        <v>Riposo</v>
      </c>
      <c r="P33" t="str">
        <f ca="1">+_xlfn.XLOOKUP($B33,settimana!$A:$A,settimana!F:F)</f>
        <v>Riposo</v>
      </c>
      <c r="Q33" t="str">
        <f ca="1">+_xlfn.XLOOKUP($B33,settimana!$A:$A,settimana!G:G)</f>
        <v>Riposo</v>
      </c>
      <c r="R33" t="str">
        <f ca="1">+_xlfn.XLOOKUP($B33,settimana!$A:$A,settimana!H:H)</f>
        <v>Riposo</v>
      </c>
    </row>
    <row r="34" spans="1:18">
      <c r="A34" t="s">
        <v>501</v>
      </c>
      <c r="B34" t="s">
        <v>466</v>
      </c>
      <c r="C34">
        <v>4</v>
      </c>
      <c r="D34">
        <v>2</v>
      </c>
      <c r="E34" s="7">
        <v>0.625</v>
      </c>
      <c r="F34" s="7">
        <v>0.875</v>
      </c>
      <c r="G34" s="6"/>
      <c r="H34" s="6"/>
      <c r="I34" s="8" t="s">
        <v>555</v>
      </c>
      <c r="K34" t="str">
        <f>+_xlfn.XLOOKUP(B34,[1]MATRICE!$AM:$AM,[1]MATRICE!$SR:$SR)</f>
        <v>libero</v>
      </c>
    </row>
    <row r="35" spans="1:18">
      <c r="A35" t="s">
        <v>502</v>
      </c>
      <c r="B35" t="s">
        <v>467</v>
      </c>
      <c r="C35">
        <v>4</v>
      </c>
      <c r="D35">
        <v>2</v>
      </c>
      <c r="E35" s="7">
        <v>0.625</v>
      </c>
      <c r="F35" s="7">
        <v>0.875</v>
      </c>
      <c r="G35" s="6"/>
      <c r="H35" s="6"/>
      <c r="I35" s="8" t="s">
        <v>549</v>
      </c>
      <c r="K35" t="str">
        <f>+_xlfn.XLOOKUP(B35,[1]MATRICE!$AM:$AM,[1]MATRICE!$SR:$SR)</f>
        <v>libero</v>
      </c>
    </row>
    <row r="36" spans="1:18">
      <c r="A36" t="s">
        <v>503</v>
      </c>
      <c r="B36" t="s">
        <v>468</v>
      </c>
      <c r="C36">
        <v>4</v>
      </c>
      <c r="D36">
        <v>2</v>
      </c>
      <c r="E36" s="7">
        <v>0.375</v>
      </c>
      <c r="F36" s="7">
        <v>0.625</v>
      </c>
      <c r="G36" s="6"/>
      <c r="H36" s="6"/>
      <c r="I36" s="8" t="s">
        <v>554</v>
      </c>
      <c r="K36" t="str">
        <f>+_xlfn.XLOOKUP(B36,[1]MATRICE!$AM:$AM,[1]MATRICE!$SR:$SR)</f>
        <v>libero</v>
      </c>
      <c r="L36" t="str">
        <f ca="1">+_xlfn.XLOOKUP($B36,settimana!$A:$A,settimana!B:B)</f>
        <v>Riposo</v>
      </c>
      <c r="M36" t="str">
        <f ca="1">+_xlfn.XLOOKUP($B36,settimana!$A:$A,settimana!C:C)</f>
        <v>Riposo</v>
      </c>
      <c r="N36" t="str">
        <f ca="1">+_xlfn.XLOOKUP($B36,settimana!$A:$A,settimana!D:D)</f>
        <v>Riposo</v>
      </c>
      <c r="O36" t="str">
        <f ca="1">+_xlfn.XLOOKUP($B36,settimana!$A:$A,settimana!E:E)</f>
        <v>Riposo</v>
      </c>
      <c r="P36" t="str">
        <f ca="1">+_xlfn.XLOOKUP($B36,settimana!$A:$A,settimana!F:F)</f>
        <v>Riposo</v>
      </c>
      <c r="Q36" t="str">
        <f ca="1">+_xlfn.XLOOKUP($B36,settimana!$A:$A,settimana!G:G)</f>
        <v>Riposo</v>
      </c>
      <c r="R36" t="str">
        <f ca="1">+_xlfn.XLOOKUP($B36,settimana!$A:$A,settimana!H:H)</f>
        <v>Riposo</v>
      </c>
    </row>
    <row r="37" spans="1:18">
      <c r="A37" t="s">
        <v>504</v>
      </c>
      <c r="B37" t="s">
        <v>469</v>
      </c>
      <c r="C37">
        <v>4</v>
      </c>
      <c r="D37">
        <v>2</v>
      </c>
      <c r="E37" s="7">
        <v>0.625</v>
      </c>
      <c r="F37" s="7">
        <v>0.875</v>
      </c>
      <c r="G37" s="6" t="s">
        <v>559</v>
      </c>
      <c r="H37" s="6" t="s">
        <v>559</v>
      </c>
      <c r="I37" s="8" t="s">
        <v>551</v>
      </c>
      <c r="K37" t="str">
        <f>+_xlfn.XLOOKUP(B37,[1]MATRICE!$AM:$AM,[1]MATRICE!$SR:$SR)</f>
        <v>libero</v>
      </c>
    </row>
    <row r="38" spans="1:18">
      <c r="A38" t="s">
        <v>505</v>
      </c>
      <c r="B38" t="s">
        <v>470</v>
      </c>
      <c r="C38">
        <v>4</v>
      </c>
      <c r="D38">
        <v>2</v>
      </c>
      <c r="E38" s="7">
        <v>0.375</v>
      </c>
      <c r="F38" s="7">
        <v>0.625</v>
      </c>
      <c r="G38" s="6" t="s">
        <v>559</v>
      </c>
      <c r="H38" s="6" t="s">
        <v>559</v>
      </c>
      <c r="I38" s="8" t="s">
        <v>548</v>
      </c>
      <c r="K38" t="str">
        <f>+_xlfn.XLOOKUP(B38,[1]MATRICE!$AM:$AM,[1]MATRICE!$SR:$SR)</f>
        <v>libero</v>
      </c>
      <c r="L38" t="str">
        <f ca="1">+_xlfn.XLOOKUP($B38,settimana!$A:$A,settimana!B:B)</f>
        <v>Riposo</v>
      </c>
      <c r="M38" t="str">
        <f ca="1">+_xlfn.XLOOKUP($B38,settimana!$A:$A,settimana!C:C)</f>
        <v>Riposo</v>
      </c>
      <c r="N38" t="str">
        <f ca="1">+_xlfn.XLOOKUP($B38,settimana!$A:$A,settimana!D:D)</f>
        <v>Riposo</v>
      </c>
      <c r="O38" t="str">
        <f ca="1">+_xlfn.XLOOKUP($B38,settimana!$A:$A,settimana!E:E)</f>
        <v>Riposo</v>
      </c>
      <c r="P38" t="str">
        <f ca="1">+_xlfn.XLOOKUP($B38,settimana!$A:$A,settimana!F:F)</f>
        <v>Riposo</v>
      </c>
      <c r="Q38" t="str">
        <f ca="1">+_xlfn.XLOOKUP($B38,settimana!$A:$A,settimana!G:G)</f>
        <v>Riposo</v>
      </c>
      <c r="R38" t="str">
        <f ca="1">+_xlfn.XLOOKUP($B38,settimana!$A:$A,settimana!H:H)</f>
        <v>Riposo</v>
      </c>
    </row>
    <row r="39" spans="1:18">
      <c r="A39" t="s">
        <v>506</v>
      </c>
      <c r="B39" t="s">
        <v>471</v>
      </c>
      <c r="C39">
        <v>4</v>
      </c>
      <c r="D39">
        <v>2</v>
      </c>
      <c r="E39" s="7">
        <v>0.625</v>
      </c>
      <c r="F39" s="7">
        <v>0.875</v>
      </c>
      <c r="G39" s="6"/>
      <c r="H39" s="6"/>
      <c r="I39" s="8" t="s">
        <v>546</v>
      </c>
      <c r="J39" t="s">
        <v>538</v>
      </c>
      <c r="K39" t="str">
        <f>+_xlfn.XLOOKUP(B39,[1]MATRICE!$AM:$AM,[1]MATRICE!$SR:$SR)</f>
        <v>libero</v>
      </c>
    </row>
    <row r="40" spans="1:18">
      <c r="A40" t="s">
        <v>507</v>
      </c>
      <c r="B40" t="s">
        <v>472</v>
      </c>
      <c r="C40">
        <v>4</v>
      </c>
      <c r="D40">
        <v>2</v>
      </c>
      <c r="E40" s="7">
        <v>0.375</v>
      </c>
      <c r="F40" s="7">
        <v>0.625</v>
      </c>
      <c r="G40" s="6"/>
      <c r="H40" s="6"/>
      <c r="I40" s="8" t="s">
        <v>550</v>
      </c>
      <c r="J40" t="s">
        <v>539</v>
      </c>
      <c r="K40" t="str">
        <f>+_xlfn.XLOOKUP(B40,[1]MATRICE!$AM:$AM,[1]MATRICE!$SR:$SR)</f>
        <v>libero</v>
      </c>
      <c r="L40" t="str">
        <f ca="1">+_xlfn.XLOOKUP($B40,settimana!$A:$A,settimana!B:B)</f>
        <v>Riposo</v>
      </c>
      <c r="M40" t="str">
        <f ca="1">+_xlfn.XLOOKUP($B40,settimana!$A:$A,settimana!C:C)</f>
        <v>Riposo</v>
      </c>
      <c r="N40" t="str">
        <f ca="1">+_xlfn.XLOOKUP($B40,settimana!$A:$A,settimana!D:D)</f>
        <v>Riposo</v>
      </c>
      <c r="O40" t="str">
        <f ca="1">+_xlfn.XLOOKUP($B40,settimana!$A:$A,settimana!E:E)</f>
        <v>Riposo</v>
      </c>
      <c r="P40" t="str">
        <f ca="1">+_xlfn.XLOOKUP($B40,settimana!$A:$A,settimana!F:F)</f>
        <v>Riposo</v>
      </c>
      <c r="Q40" t="str">
        <f ca="1">+_xlfn.XLOOKUP($B40,settimana!$A:$A,settimana!G:G)</f>
        <v>Riposo</v>
      </c>
      <c r="R40" t="str">
        <f ca="1">+_xlfn.XLOOKUP($B40,settimana!$A:$A,settimana!H:H)</f>
        <v>Riposo</v>
      </c>
    </row>
    <row r="41" spans="1:18">
      <c r="A41" t="s">
        <v>508</v>
      </c>
      <c r="B41" t="s">
        <v>473</v>
      </c>
      <c r="C41">
        <v>4</v>
      </c>
      <c r="D41">
        <v>2</v>
      </c>
      <c r="E41" s="7">
        <v>0.625</v>
      </c>
      <c r="F41" s="7">
        <v>0.875</v>
      </c>
      <c r="G41" s="6" t="s">
        <v>559</v>
      </c>
      <c r="H41" s="6" t="s">
        <v>559</v>
      </c>
      <c r="I41" s="8" t="s">
        <v>545</v>
      </c>
      <c r="K41" t="str">
        <f>+_xlfn.XLOOKUP(B41,[1]MATRICE!$AM:$AM,[1]MATRICE!$SR:$SR)</f>
        <v>libero</v>
      </c>
      <c r="L41" t="str">
        <f ca="1">+_xlfn.XLOOKUP($B41,settimana!$A:$A,settimana!B:B)</f>
        <v>Riposo</v>
      </c>
      <c r="M41" t="str">
        <f ca="1">+_xlfn.XLOOKUP($B41,settimana!$A:$A,settimana!C:C)</f>
        <v>Riposo</v>
      </c>
      <c r="N41" t="str">
        <f ca="1">+_xlfn.XLOOKUP($B41,settimana!$A:$A,settimana!D:D)</f>
        <v>Riposo</v>
      </c>
      <c r="O41" t="str">
        <f ca="1">+_xlfn.XLOOKUP($B41,settimana!$A:$A,settimana!E:E)</f>
        <v>Riposo</v>
      </c>
      <c r="P41" t="str">
        <f ca="1">+_xlfn.XLOOKUP($B41,settimana!$A:$A,settimana!F:F)</f>
        <v>Riposo</v>
      </c>
      <c r="Q41" t="str">
        <f ca="1">+_xlfn.XLOOKUP($B41,settimana!$A:$A,settimana!G:G)</f>
        <v>Riposo</v>
      </c>
      <c r="R41" t="str">
        <f ca="1">+_xlfn.XLOOKUP($B41,settimana!$A:$A,settimana!H:H)</f>
        <v>Riposo</v>
      </c>
    </row>
    <row r="42" spans="1:18">
      <c r="A42" t="s">
        <v>509</v>
      </c>
      <c r="B42" t="s">
        <v>474</v>
      </c>
      <c r="C42">
        <v>4</v>
      </c>
      <c r="D42">
        <v>2</v>
      </c>
      <c r="E42" s="7">
        <v>0.375</v>
      </c>
      <c r="F42" s="7">
        <v>0.54166666666666663</v>
      </c>
      <c r="G42" s="6"/>
      <c r="H42" s="6"/>
      <c r="I42" s="8" t="s">
        <v>548</v>
      </c>
      <c r="J42" t="s">
        <v>540</v>
      </c>
      <c r="K42" t="str">
        <f>+_xlfn.XLOOKUP(B42,[1]MATRICE!$AM:$AM,[1]MATRICE!$SR:$SR)</f>
        <v>libero</v>
      </c>
    </row>
    <row r="43" spans="1:18">
      <c r="A43" t="s">
        <v>510</v>
      </c>
      <c r="B43" t="s">
        <v>475</v>
      </c>
      <c r="C43">
        <v>4</v>
      </c>
      <c r="D43">
        <v>2</v>
      </c>
      <c r="E43" s="7">
        <v>0.625</v>
      </c>
      <c r="F43" s="7">
        <v>0.875</v>
      </c>
      <c r="G43" s="6" t="s">
        <v>559</v>
      </c>
      <c r="H43" s="6" t="s">
        <v>559</v>
      </c>
      <c r="I43" s="8" t="s">
        <v>545</v>
      </c>
      <c r="K43" t="str">
        <f>+_xlfn.XLOOKUP(B43,[1]MATRICE!$AM:$AM,[1]MATRICE!$SR:$SR)</f>
        <v>libero</v>
      </c>
    </row>
    <row r="44" spans="1:18">
      <c r="A44" t="s">
        <v>511</v>
      </c>
      <c r="B44" t="s">
        <v>476</v>
      </c>
      <c r="C44">
        <v>4</v>
      </c>
      <c r="D44">
        <v>2</v>
      </c>
      <c r="E44" s="7">
        <v>0.375</v>
      </c>
      <c r="F44" s="7">
        <v>0.625</v>
      </c>
      <c r="G44" s="6"/>
      <c r="H44" s="6"/>
      <c r="I44" s="8" t="s">
        <v>548</v>
      </c>
      <c r="K44" t="str">
        <f>+_xlfn.XLOOKUP(B44,[1]MATRICE!$AM:$AM,[1]MATRICE!$SR:$SR)</f>
        <v>libero</v>
      </c>
      <c r="L44" t="str">
        <f ca="1">+_xlfn.XLOOKUP($B44,settimana!$A:$A,settimana!B:B)</f>
        <v>Riposo</v>
      </c>
      <c r="M44" t="str">
        <f ca="1">+_xlfn.XLOOKUP($B44,settimana!$A:$A,settimana!C:C)</f>
        <v>Riposo</v>
      </c>
      <c r="N44" t="str">
        <f ca="1">+_xlfn.XLOOKUP($B44,settimana!$A:$A,settimana!D:D)</f>
        <v>Riposo</v>
      </c>
      <c r="O44" t="str">
        <f ca="1">+_xlfn.XLOOKUP($B44,settimana!$A:$A,settimana!E:E)</f>
        <v>Riposo</v>
      </c>
      <c r="P44" t="str">
        <f ca="1">+_xlfn.XLOOKUP($B44,settimana!$A:$A,settimana!F:F)</f>
        <v>Riposo</v>
      </c>
      <c r="Q44" t="str">
        <f ca="1">+_xlfn.XLOOKUP($B44,settimana!$A:$A,settimana!G:G)</f>
        <v>Riposo</v>
      </c>
      <c r="R44" t="str">
        <f ca="1">+_xlfn.XLOOKUP($B44,settimana!$A:$A,settimana!H:H)</f>
        <v>Riposo</v>
      </c>
    </row>
    <row r="45" spans="1:18">
      <c r="A45" t="s">
        <v>512</v>
      </c>
      <c r="B45" t="s">
        <v>477</v>
      </c>
      <c r="C45">
        <v>4</v>
      </c>
      <c r="D45">
        <v>2</v>
      </c>
      <c r="E45" s="7">
        <v>0.375</v>
      </c>
      <c r="F45" s="7">
        <v>0.54166666666666663</v>
      </c>
      <c r="G45" s="6"/>
      <c r="H45" s="6"/>
      <c r="I45" s="8" t="s">
        <v>547</v>
      </c>
      <c r="J45" t="s">
        <v>541</v>
      </c>
      <c r="K45" t="str">
        <f>+_xlfn.XLOOKUP(B45,[1]MATRICE!$AM:$AM,[1]MATRICE!$SR:$SR)</f>
        <v>libero</v>
      </c>
    </row>
    <row r="46" spans="1:18">
      <c r="A46" t="s">
        <v>513</v>
      </c>
      <c r="B46" t="s">
        <v>478</v>
      </c>
      <c r="C46">
        <v>4</v>
      </c>
      <c r="D46">
        <v>2</v>
      </c>
      <c r="E46" s="7">
        <v>0.375</v>
      </c>
      <c r="F46" s="7">
        <v>0.625</v>
      </c>
      <c r="G46" s="6" t="s">
        <v>559</v>
      </c>
      <c r="H46" s="6" t="s">
        <v>559</v>
      </c>
      <c r="I46" s="8" t="s">
        <v>552</v>
      </c>
      <c r="K46" t="str">
        <f>+_xlfn.XLOOKUP(B46,[1]MATRICE!$AM:$AM,[1]MATRICE!$SR:$SR)</f>
        <v>libero</v>
      </c>
      <c r="L46" t="str">
        <f ca="1">+_xlfn.XLOOKUP($B46,settimana!$A:$A,settimana!B:B)</f>
        <v>Riposo</v>
      </c>
      <c r="M46" t="str">
        <f ca="1">+_xlfn.XLOOKUP($B46,settimana!$A:$A,settimana!C:C)</f>
        <v>Riposo</v>
      </c>
      <c r="N46" t="str">
        <f ca="1">+_xlfn.XLOOKUP($B46,settimana!$A:$A,settimana!D:D)</f>
        <v>Riposo</v>
      </c>
      <c r="O46" t="str">
        <f ca="1">+_xlfn.XLOOKUP($B46,settimana!$A:$A,settimana!E:E)</f>
        <v>Riposo</v>
      </c>
      <c r="P46" t="str">
        <f ca="1">+_xlfn.XLOOKUP($B46,settimana!$A:$A,settimana!F:F)</f>
        <v>Riposo</v>
      </c>
      <c r="Q46" t="str">
        <f ca="1">+_xlfn.XLOOKUP($B46,settimana!$A:$A,settimana!G:G)</f>
        <v>Riposo</v>
      </c>
      <c r="R46" t="str">
        <f ca="1">+_xlfn.XLOOKUP($B46,settimana!$A:$A,settimana!H:H)</f>
        <v>Riposo</v>
      </c>
    </row>
    <row r="47" spans="1:18">
      <c r="A47" t="s">
        <v>514</v>
      </c>
      <c r="B47" t="s">
        <v>479</v>
      </c>
      <c r="C47">
        <v>4</v>
      </c>
      <c r="D47">
        <v>2</v>
      </c>
      <c r="E47" s="7">
        <v>0.625</v>
      </c>
      <c r="F47" s="7">
        <v>0.875</v>
      </c>
      <c r="G47" s="6"/>
      <c r="H47" s="6"/>
      <c r="I47" s="8" t="s">
        <v>548</v>
      </c>
      <c r="K47" t="str">
        <f>+_xlfn.XLOOKUP(B47,[1]MATRICE!$AM:$AM,[1]MATRICE!$SR:$SR)</f>
        <v>libero</v>
      </c>
    </row>
    <row r="48" spans="1:18">
      <c r="A48" t="s">
        <v>515</v>
      </c>
      <c r="B48" t="s">
        <v>480</v>
      </c>
      <c r="C48">
        <v>4</v>
      </c>
      <c r="D48">
        <v>2</v>
      </c>
      <c r="E48" s="7">
        <v>0.375</v>
      </c>
      <c r="F48" s="7">
        <v>0.625</v>
      </c>
      <c r="G48" s="6"/>
      <c r="H48" s="6"/>
      <c r="I48" s="8" t="s">
        <v>548</v>
      </c>
      <c r="K48" t="str">
        <f>+_xlfn.XLOOKUP(B48,[1]MATRICE!$AM:$AM,[1]MATRICE!$SR:$SR)</f>
        <v>libero</v>
      </c>
      <c r="L48" t="str">
        <f ca="1">+_xlfn.XLOOKUP($B48,settimana!$A:$A,settimana!B:B)</f>
        <v>Riposo</v>
      </c>
      <c r="M48" t="str">
        <f ca="1">+_xlfn.XLOOKUP($B48,settimana!$A:$A,settimana!C:C)</f>
        <v>Riposo</v>
      </c>
      <c r="N48" t="str">
        <f ca="1">+_xlfn.XLOOKUP($B48,settimana!$A:$A,settimana!D:D)</f>
        <v>Riposo</v>
      </c>
      <c r="O48" t="str">
        <f ca="1">+_xlfn.XLOOKUP($B48,settimana!$A:$A,settimana!E:E)</f>
        <v>Riposo</v>
      </c>
      <c r="P48" t="str">
        <f ca="1">+_xlfn.XLOOKUP($B48,settimana!$A:$A,settimana!F:F)</f>
        <v>Riposo</v>
      </c>
      <c r="Q48" t="str">
        <f ca="1">+_xlfn.XLOOKUP($B48,settimana!$A:$A,settimana!G:G)</f>
        <v>Riposo</v>
      </c>
      <c r="R48" t="str">
        <f ca="1">+_xlfn.XLOOKUP($B48,settimana!$A:$A,settimana!H:H)</f>
        <v>Riposo</v>
      </c>
    </row>
    <row r="49" spans="1:18">
      <c r="A49" t="s">
        <v>516</v>
      </c>
      <c r="B49" t="s">
        <v>481</v>
      </c>
      <c r="C49">
        <v>4</v>
      </c>
      <c r="D49">
        <v>2</v>
      </c>
      <c r="E49" s="7">
        <v>0.625</v>
      </c>
      <c r="F49" s="7">
        <v>0.875</v>
      </c>
      <c r="G49" s="6"/>
      <c r="H49" s="6"/>
      <c r="I49" s="8" t="s">
        <v>548</v>
      </c>
      <c r="K49" t="str">
        <f>+_xlfn.XLOOKUP(B49,[1]MATRICE!$AM:$AM,[1]MATRICE!$SR:$SR)</f>
        <v>libero</v>
      </c>
    </row>
    <row r="50" spans="1:18">
      <c r="A50" t="s">
        <v>517</v>
      </c>
      <c r="B50" t="s">
        <v>482</v>
      </c>
      <c r="C50">
        <v>4</v>
      </c>
      <c r="D50">
        <v>2</v>
      </c>
      <c r="E50" s="7">
        <v>0.375</v>
      </c>
      <c r="F50" s="7">
        <v>0.625</v>
      </c>
      <c r="G50" s="6"/>
      <c r="H50" s="6"/>
      <c r="I50" s="8" t="s">
        <v>552</v>
      </c>
      <c r="K50" t="str">
        <f>+_xlfn.XLOOKUP(B50,[1]MATRICE!$AM:$AM,[1]MATRICE!$SR:$SR)</f>
        <v>libero</v>
      </c>
      <c r="L50" t="str">
        <f ca="1">+_xlfn.XLOOKUP($B50,settimana!$A:$A,settimana!B:B)</f>
        <v>Riposo</v>
      </c>
      <c r="M50" t="str">
        <f ca="1">+_xlfn.XLOOKUP($B50,settimana!$A:$A,settimana!C:C)</f>
        <v>Riposo</v>
      </c>
      <c r="N50" t="str">
        <f ca="1">+_xlfn.XLOOKUP($B50,settimana!$A:$A,settimana!D:D)</f>
        <v>Riposo</v>
      </c>
      <c r="O50" t="str">
        <f ca="1">+_xlfn.XLOOKUP($B50,settimana!$A:$A,settimana!E:E)</f>
        <v>Riposo</v>
      </c>
      <c r="P50" t="str">
        <f ca="1">+_xlfn.XLOOKUP($B50,settimana!$A:$A,settimana!F:F)</f>
        <v>Riposo</v>
      </c>
      <c r="Q50" t="str">
        <f ca="1">+_xlfn.XLOOKUP($B50,settimana!$A:$A,settimana!G:G)</f>
        <v>Riposo</v>
      </c>
      <c r="R50" t="str">
        <f ca="1">+_xlfn.XLOOKUP($B50,settimana!$A:$A,settimana!H:H)</f>
        <v>Riposo</v>
      </c>
    </row>
    <row r="51" spans="1:18">
      <c r="A51" t="s">
        <v>518</v>
      </c>
      <c r="B51" t="s">
        <v>483</v>
      </c>
      <c r="C51">
        <v>4</v>
      </c>
      <c r="D51">
        <v>2</v>
      </c>
      <c r="E51" s="7">
        <v>0.625</v>
      </c>
      <c r="F51" s="7">
        <v>0.875</v>
      </c>
      <c r="G51" s="6"/>
      <c r="H51" s="6"/>
      <c r="I51" s="8" t="s">
        <v>548</v>
      </c>
      <c r="K51" t="str">
        <f>+_xlfn.XLOOKUP(B51,[1]MATRICE!$AM:$AM,[1]MATRICE!$SR:$SR)</f>
        <v>libero</v>
      </c>
    </row>
    <row r="52" spans="1:18">
      <c r="A52" t="s">
        <v>519</v>
      </c>
      <c r="B52" t="s">
        <v>484</v>
      </c>
      <c r="C52">
        <v>4</v>
      </c>
      <c r="D52">
        <v>2</v>
      </c>
      <c r="E52" s="7">
        <v>0.625</v>
      </c>
      <c r="F52" s="7">
        <v>0.875</v>
      </c>
      <c r="G52" s="6"/>
      <c r="H52" s="6"/>
      <c r="I52" s="8" t="s">
        <v>547</v>
      </c>
      <c r="J52" t="s">
        <v>542</v>
      </c>
      <c r="K52" t="str">
        <f>+_xlfn.XLOOKUP(B52,[1]MATRICE!$AM:$AM,[1]MATRICE!$SR:$SR)</f>
        <v>libero</v>
      </c>
    </row>
    <row r="53" spans="1:18">
      <c r="A53" t="s">
        <v>520</v>
      </c>
      <c r="B53" t="s">
        <v>485</v>
      </c>
      <c r="C53">
        <v>4</v>
      </c>
      <c r="D53">
        <v>2</v>
      </c>
      <c r="E53" s="7">
        <v>0.375</v>
      </c>
      <c r="F53" s="7">
        <v>0.625</v>
      </c>
      <c r="G53" s="6"/>
      <c r="H53" s="6"/>
      <c r="I53" s="8" t="s">
        <v>552</v>
      </c>
      <c r="K53" t="str">
        <f>+_xlfn.XLOOKUP(B53,[1]MATRICE!$AM:$AM,[1]MATRICE!$SR:$SR)</f>
        <v>libero</v>
      </c>
      <c r="L53" t="str">
        <f ca="1">+_xlfn.XLOOKUP($B53,settimana!$A:$A,settimana!B:B)</f>
        <v>Riposo</v>
      </c>
      <c r="M53" t="str">
        <f ca="1">+_xlfn.XLOOKUP($B53,settimana!$A:$A,settimana!C:C)</f>
        <v>Riposo</v>
      </c>
      <c r="N53" t="str">
        <f ca="1">+_xlfn.XLOOKUP($B53,settimana!$A:$A,settimana!D:D)</f>
        <v>Riposo</v>
      </c>
      <c r="O53" t="str">
        <f ca="1">+_xlfn.XLOOKUP($B53,settimana!$A:$A,settimana!E:E)</f>
        <v>Riposo</v>
      </c>
      <c r="P53" t="str">
        <f ca="1">+_xlfn.XLOOKUP($B53,settimana!$A:$A,settimana!F:F)</f>
        <v>Riposo</v>
      </c>
      <c r="Q53" t="str">
        <f ca="1">+_xlfn.XLOOKUP($B53,settimana!$A:$A,settimana!G:G)</f>
        <v>Riposo</v>
      </c>
      <c r="R53" t="str">
        <f ca="1">+_xlfn.XLOOKUP($B53,settimana!$A:$A,settimana!H:H)</f>
        <v>Riposo</v>
      </c>
    </row>
    <row r="54" spans="1:18">
      <c r="A54" t="s">
        <v>521</v>
      </c>
      <c r="B54" t="s">
        <v>486</v>
      </c>
      <c r="C54">
        <v>4</v>
      </c>
      <c r="D54">
        <v>2</v>
      </c>
      <c r="E54" s="7">
        <v>0.625</v>
      </c>
      <c r="F54" s="7">
        <v>0.875</v>
      </c>
      <c r="G54" s="6"/>
      <c r="H54" s="6" t="s">
        <v>559</v>
      </c>
      <c r="I54" s="8" t="s">
        <v>547</v>
      </c>
      <c r="K54" t="str">
        <f>+_xlfn.XLOOKUP(B54,[1]MATRICE!$AM:$AM,[1]MATRICE!$SR:$SR)</f>
        <v>libero</v>
      </c>
    </row>
    <row r="55" spans="1:18">
      <c r="A55" t="s">
        <v>522</v>
      </c>
      <c r="B55" t="s">
        <v>487</v>
      </c>
      <c r="C55">
        <v>4</v>
      </c>
      <c r="D55">
        <v>2</v>
      </c>
      <c r="E55" s="7">
        <v>0.625</v>
      </c>
      <c r="F55" s="7">
        <v>0.875</v>
      </c>
      <c r="G55" s="6" t="s">
        <v>559</v>
      </c>
      <c r="H55" s="6" t="s">
        <v>559</v>
      </c>
      <c r="I55" s="8" t="s">
        <v>548</v>
      </c>
      <c r="K55" t="str">
        <f>+_xlfn.XLOOKUP(B55,[1]MATRICE!$AM:$AM,[1]MATRICE!$SR:$SR)</f>
        <v>libero</v>
      </c>
    </row>
    <row r="56" spans="1:18">
      <c r="A56" t="s">
        <v>523</v>
      </c>
      <c r="B56" t="s">
        <v>488</v>
      </c>
      <c r="C56">
        <v>4</v>
      </c>
      <c r="D56">
        <v>2</v>
      </c>
      <c r="E56" s="7">
        <v>0.375</v>
      </c>
      <c r="F56" s="7">
        <v>0.625</v>
      </c>
      <c r="G56" s="6"/>
      <c r="H56" s="6"/>
      <c r="I56" s="8" t="s">
        <v>548</v>
      </c>
      <c r="K56" t="str">
        <f>+_xlfn.XLOOKUP(B56,[1]MATRICE!$AM:$AM,[1]MATRICE!$SR:$SR)</f>
        <v>libero</v>
      </c>
      <c r="L56" t="str">
        <f ca="1">+_xlfn.XLOOKUP($B56,settimana!$A:$A,settimana!B:B)</f>
        <v>Riposo</v>
      </c>
      <c r="M56" t="str">
        <f ca="1">+_xlfn.XLOOKUP($B56,settimana!$A:$A,settimana!C:C)</f>
        <v>Riposo</v>
      </c>
      <c r="N56" t="str">
        <f ca="1">+_xlfn.XLOOKUP($B56,settimana!$A:$A,settimana!D:D)</f>
        <v>Riposo</v>
      </c>
      <c r="O56" t="str">
        <f ca="1">+_xlfn.XLOOKUP($B56,settimana!$A:$A,settimana!E:E)</f>
        <v>Riposo</v>
      </c>
      <c r="P56" t="str">
        <f ca="1">+_xlfn.XLOOKUP($B56,settimana!$A:$A,settimana!F:F)</f>
        <v>Riposo</v>
      </c>
      <c r="Q56" t="str">
        <f ca="1">+_xlfn.XLOOKUP($B56,settimana!$A:$A,settimana!G:G)</f>
        <v>Riposo</v>
      </c>
      <c r="R56" t="str">
        <f ca="1">+_xlfn.XLOOKUP($B56,settimana!$A:$A,settimana!H:H)</f>
        <v>Riposo</v>
      </c>
    </row>
    <row r="57" spans="1:18">
      <c r="A57" t="s">
        <v>524</v>
      </c>
      <c r="B57" t="s">
        <v>489</v>
      </c>
      <c r="C57">
        <v>4</v>
      </c>
      <c r="D57">
        <v>2</v>
      </c>
      <c r="E57" s="7">
        <v>0.625</v>
      </c>
      <c r="F57" s="7">
        <v>0.875</v>
      </c>
      <c r="G57" s="6"/>
      <c r="H57" s="6"/>
      <c r="I57" s="8" t="s">
        <v>545</v>
      </c>
      <c r="K57" t="str">
        <f>+_xlfn.XLOOKUP(B57,[1]MATRICE!$AM:$AM,[1]MATRICE!$SR:$SR)</f>
        <v>libero</v>
      </c>
    </row>
    <row r="58" spans="1:18">
      <c r="A58" t="s">
        <v>525</v>
      </c>
      <c r="B58" t="s">
        <v>490</v>
      </c>
      <c r="C58">
        <v>4</v>
      </c>
      <c r="D58">
        <v>2</v>
      </c>
      <c r="E58" s="7">
        <v>0.625</v>
      </c>
      <c r="F58" s="7">
        <v>0.875</v>
      </c>
      <c r="G58" s="6"/>
      <c r="H58" s="6"/>
      <c r="I58" s="8" t="s">
        <v>545</v>
      </c>
      <c r="K58" t="str">
        <f>+_xlfn.XLOOKUP(B58,[1]MATRICE!$AM:$AM,[1]MATRICE!$SR:$SR)</f>
        <v>libero</v>
      </c>
      <c r="L58" t="str">
        <f ca="1">+_xlfn.XLOOKUP($B58,settimana!$A:$A,settimana!B:B)</f>
        <v>Riposo</v>
      </c>
      <c r="M58" t="str">
        <f ca="1">+_xlfn.XLOOKUP($B58,settimana!$A:$A,settimana!C:C)</f>
        <v>Riposo</v>
      </c>
      <c r="N58" t="str">
        <f ca="1">+_xlfn.XLOOKUP($B58,settimana!$A:$A,settimana!D:D)</f>
        <v>Riposo</v>
      </c>
      <c r="O58" t="str">
        <f ca="1">+_xlfn.XLOOKUP($B58,settimana!$A:$A,settimana!E:E)</f>
        <v>Riposo</v>
      </c>
      <c r="P58" t="str">
        <f ca="1">+_xlfn.XLOOKUP($B58,settimana!$A:$A,settimana!F:F)</f>
        <v>Riposo</v>
      </c>
      <c r="Q58" t="str">
        <f ca="1">+_xlfn.XLOOKUP($B58,settimana!$A:$A,settimana!G:G)</f>
        <v>Riposo</v>
      </c>
      <c r="R58" t="str">
        <f ca="1">+_xlfn.XLOOKUP($B58,settimana!$A:$A,settimana!H:H)</f>
        <v>Riposo</v>
      </c>
    </row>
    <row r="59" spans="1:18">
      <c r="A59" t="s">
        <v>526</v>
      </c>
      <c r="B59" t="s">
        <v>491</v>
      </c>
      <c r="C59">
        <v>4</v>
      </c>
      <c r="D59">
        <v>2</v>
      </c>
      <c r="E59" s="7">
        <v>0.375</v>
      </c>
      <c r="F59" s="7">
        <v>0.625</v>
      </c>
      <c r="G59" s="6"/>
      <c r="H59" s="6"/>
      <c r="I59" s="8" t="s">
        <v>548</v>
      </c>
      <c r="K59" t="str">
        <f>+_xlfn.XLOOKUP(B59,[1]MATRICE!$AM:$AM,[1]MATRICE!$SR:$SR)</f>
        <v>libero</v>
      </c>
      <c r="L59" t="str">
        <f ca="1">+_xlfn.XLOOKUP($B59,settimana!$A:$A,settimana!B:B)</f>
        <v>Riposo</v>
      </c>
      <c r="M59" t="str">
        <f ca="1">+_xlfn.XLOOKUP($B59,settimana!$A:$A,settimana!C:C)</f>
        <v>Riposo</v>
      </c>
      <c r="N59" t="str">
        <f ca="1">+_xlfn.XLOOKUP($B59,settimana!$A:$A,settimana!D:D)</f>
        <v>Riposo</v>
      </c>
      <c r="O59" t="str">
        <f ca="1">+_xlfn.XLOOKUP($B59,settimana!$A:$A,settimana!E:E)</f>
        <v>Riposo</v>
      </c>
      <c r="P59" t="str">
        <f ca="1">+_xlfn.XLOOKUP($B59,settimana!$A:$A,settimana!F:F)</f>
        <v>Riposo</v>
      </c>
      <c r="Q59" t="str">
        <f ca="1">+_xlfn.XLOOKUP($B59,settimana!$A:$A,settimana!G:G)</f>
        <v>Riposo</v>
      </c>
      <c r="R59" t="str">
        <f ca="1">+_xlfn.XLOOKUP($B59,settimana!$A:$A,settimana!H:H)</f>
        <v>Riposo</v>
      </c>
    </row>
    <row r="60" spans="1:18">
      <c r="A60" t="s">
        <v>527</v>
      </c>
      <c r="B60" t="s">
        <v>492</v>
      </c>
      <c r="C60">
        <v>4</v>
      </c>
      <c r="D60">
        <v>2</v>
      </c>
      <c r="E60" s="7">
        <v>0.625</v>
      </c>
      <c r="F60" s="7">
        <v>0.875</v>
      </c>
      <c r="G60" s="6" t="s">
        <v>559</v>
      </c>
      <c r="H60" s="6" t="s">
        <v>559</v>
      </c>
      <c r="I60" s="8" t="s">
        <v>545</v>
      </c>
      <c r="K60" t="str">
        <f>+_xlfn.XLOOKUP(B60,[1]MATRICE!$AM:$AM,[1]MATRICE!$SR:$SR)</f>
        <v>libero</v>
      </c>
      <c r="L60" t="str">
        <f ca="1">+_xlfn.XLOOKUP($B60,settimana!$A:$A,settimana!B:B)</f>
        <v>Riposo</v>
      </c>
      <c r="M60" t="str">
        <f ca="1">+_xlfn.XLOOKUP($B60,settimana!$A:$A,settimana!C:C)</f>
        <v>Riposo</v>
      </c>
      <c r="N60" t="str">
        <f ca="1">+_xlfn.XLOOKUP($B60,settimana!$A:$A,settimana!D:D)</f>
        <v>Riposo</v>
      </c>
      <c r="O60" t="str">
        <f ca="1">+_xlfn.XLOOKUP($B60,settimana!$A:$A,settimana!E:E)</f>
        <v>Riposo</v>
      </c>
      <c r="P60" t="str">
        <f ca="1">+_xlfn.XLOOKUP($B60,settimana!$A:$A,settimana!F:F)</f>
        <v>Riposo</v>
      </c>
      <c r="Q60" t="str">
        <f ca="1">+_xlfn.XLOOKUP($B60,settimana!$A:$A,settimana!G:G)</f>
        <v>Riposo</v>
      </c>
      <c r="R60" t="str">
        <f ca="1">+_xlfn.XLOOKUP($B60,settimana!$A:$A,settimana!H:H)</f>
        <v>Riposo</v>
      </c>
    </row>
    <row r="61" spans="1:18">
      <c r="A61" t="s">
        <v>528</v>
      </c>
      <c r="B61" t="s">
        <v>493</v>
      </c>
      <c r="C61">
        <v>4</v>
      </c>
      <c r="D61">
        <v>2</v>
      </c>
      <c r="E61" s="7">
        <v>0.375</v>
      </c>
      <c r="F61" s="7">
        <v>0.625</v>
      </c>
      <c r="G61" s="6"/>
      <c r="H61" s="6"/>
      <c r="I61" s="8" t="s">
        <v>548</v>
      </c>
      <c r="K61" t="str">
        <f>+_xlfn.XLOOKUP(B61,[1]MATRICE!$AM:$AM,[1]MATRICE!$SR:$SR)</f>
        <v>libero</v>
      </c>
      <c r="L61" t="str">
        <f ca="1">+_xlfn.XLOOKUP($B61,settimana!$A:$A,settimana!B:B)</f>
        <v>Riposo</v>
      </c>
      <c r="M61" t="str">
        <f ca="1">+_xlfn.XLOOKUP($B61,settimana!$A:$A,settimana!C:C)</f>
        <v>Riposo</v>
      </c>
      <c r="N61" t="str">
        <f ca="1">+_xlfn.XLOOKUP($B61,settimana!$A:$A,settimana!D:D)</f>
        <v>Riposo</v>
      </c>
      <c r="O61" t="str">
        <f ca="1">+_xlfn.XLOOKUP($B61,settimana!$A:$A,settimana!E:E)</f>
        <v>Riposo</v>
      </c>
      <c r="P61" t="str">
        <f ca="1">+_xlfn.XLOOKUP($B61,settimana!$A:$A,settimana!F:F)</f>
        <v>Riposo</v>
      </c>
      <c r="Q61" t="str">
        <f ca="1">+_xlfn.XLOOKUP($B61,settimana!$A:$A,settimana!G:G)</f>
        <v>Riposo</v>
      </c>
      <c r="R61" t="str">
        <f ca="1">+_xlfn.XLOOKUP($B61,settimana!$A:$A,settimana!H:H)</f>
        <v>Riposo</v>
      </c>
    </row>
    <row r="62" spans="1:18">
      <c r="A62" t="s">
        <v>529</v>
      </c>
      <c r="B62" t="s">
        <v>494</v>
      </c>
      <c r="C62">
        <v>4</v>
      </c>
      <c r="D62">
        <v>2</v>
      </c>
      <c r="E62" s="7">
        <v>0.375</v>
      </c>
      <c r="F62" s="7">
        <v>0.625</v>
      </c>
      <c r="G62" s="6"/>
      <c r="H62" s="6"/>
      <c r="I62" s="8" t="s">
        <v>548</v>
      </c>
      <c r="J62" t="s">
        <v>543</v>
      </c>
      <c r="K62" t="str">
        <f>+_xlfn.XLOOKUP(B62,[1]MATRICE!$AM:$AM,[1]MATRICE!$SR:$SR)</f>
        <v>libero</v>
      </c>
      <c r="L62" t="str">
        <f ca="1">+_xlfn.XLOOKUP($B62,settimana!$A:$A,settimana!B:B)</f>
        <v>Riposo</v>
      </c>
      <c r="M62" t="str">
        <f ca="1">+_xlfn.XLOOKUP($B62,settimana!$A:$A,settimana!C:C)</f>
        <v>Riposo</v>
      </c>
      <c r="N62" t="str">
        <f ca="1">+_xlfn.XLOOKUP($B62,settimana!$A:$A,settimana!D:D)</f>
        <v>Riposo</v>
      </c>
      <c r="O62" t="str">
        <f ca="1">+_xlfn.XLOOKUP($B62,settimana!$A:$A,settimana!E:E)</f>
        <v>Riposo</v>
      </c>
      <c r="P62" t="str">
        <f ca="1">+_xlfn.XLOOKUP($B62,settimana!$A:$A,settimana!F:F)</f>
        <v>Riposo</v>
      </c>
      <c r="Q62" t="str">
        <f ca="1">+_xlfn.XLOOKUP($B62,settimana!$A:$A,settimana!G:G)</f>
        <v>Riposo</v>
      </c>
      <c r="R62" t="str">
        <f ca="1">+_xlfn.XLOOKUP($B62,settimana!$A:$A,settimana!H:H)</f>
        <v>Riposo</v>
      </c>
    </row>
    <row r="63" spans="1:18">
      <c r="A63" t="s">
        <v>530</v>
      </c>
      <c r="B63" t="s">
        <v>495</v>
      </c>
      <c r="C63">
        <v>4</v>
      </c>
      <c r="D63">
        <v>2</v>
      </c>
      <c r="E63" s="7">
        <v>0.375</v>
      </c>
      <c r="F63" s="7">
        <v>0.625</v>
      </c>
      <c r="G63" s="6"/>
      <c r="H63" s="6"/>
      <c r="I63" s="8" t="s">
        <v>556</v>
      </c>
      <c r="K63" t="str">
        <f>+_xlfn.XLOOKUP(B63,[1]MATRICE!$AM:$AM,[1]MATRICE!$SR:$SR)</f>
        <v>libero</v>
      </c>
      <c r="L63" t="str">
        <f ca="1">+_xlfn.XLOOKUP($B63,settimana!$A:$A,settimana!B:B)</f>
        <v>Riposo</v>
      </c>
      <c r="M63" t="str">
        <f ca="1">+_xlfn.XLOOKUP($B63,settimana!$A:$A,settimana!C:C)</f>
        <v>Riposo</v>
      </c>
      <c r="N63" t="str">
        <f ca="1">+_xlfn.XLOOKUP($B63,settimana!$A:$A,settimana!D:D)</f>
        <v>Riposo</v>
      </c>
      <c r="O63" t="str">
        <f ca="1">+_xlfn.XLOOKUP($B63,settimana!$A:$A,settimana!E:E)</f>
        <v>Riposo</v>
      </c>
      <c r="P63" t="str">
        <f ca="1">+_xlfn.XLOOKUP($B63,settimana!$A:$A,settimana!F:F)</f>
        <v>Riposo</v>
      </c>
      <c r="Q63" t="str">
        <f ca="1">+_xlfn.XLOOKUP($B63,settimana!$A:$A,settimana!G:G)</f>
        <v>Riposo</v>
      </c>
      <c r="R63" t="str">
        <f ca="1">+_xlfn.XLOOKUP($B63,settimana!$A:$A,settimana!H:H)</f>
        <v>Riposo</v>
      </c>
    </row>
    <row r="64" spans="1:18">
      <c r="A64" t="s">
        <v>531</v>
      </c>
      <c r="B64" t="s">
        <v>496</v>
      </c>
      <c r="C64">
        <v>4</v>
      </c>
      <c r="D64">
        <v>2</v>
      </c>
      <c r="E64" s="7">
        <v>0.625</v>
      </c>
      <c r="F64" s="7">
        <v>0.875</v>
      </c>
      <c r="G64" s="6"/>
      <c r="H64" s="6"/>
      <c r="I64" s="8" t="s">
        <v>557</v>
      </c>
      <c r="K64" t="str">
        <f>+_xlfn.XLOOKUP(B64,[1]MATRICE!$AM:$AM,[1]MATRICE!$SR:$SR)</f>
        <v>libero</v>
      </c>
      <c r="L64" t="str">
        <f ca="1">+_xlfn.XLOOKUP($B64,settimana!$A:$A,settimana!B:B)</f>
        <v>Riposo</v>
      </c>
      <c r="M64" t="str">
        <f ca="1">+_xlfn.XLOOKUP($B64,settimana!$A:$A,settimana!C:C)</f>
        <v>Riposo</v>
      </c>
      <c r="N64" t="str">
        <f ca="1">+_xlfn.XLOOKUP($B64,settimana!$A:$A,settimana!D:D)</f>
        <v>Riposo</v>
      </c>
      <c r="O64" t="str">
        <f ca="1">+_xlfn.XLOOKUP($B64,settimana!$A:$A,settimana!E:E)</f>
        <v>Riposo</v>
      </c>
      <c r="P64" t="str">
        <f ca="1">+_xlfn.XLOOKUP($B64,settimana!$A:$A,settimana!F:F)</f>
        <v>Riposo</v>
      </c>
      <c r="Q64" t="str">
        <f ca="1">+_xlfn.XLOOKUP($B64,settimana!$A:$A,settimana!G:G)</f>
        <v>Riposo</v>
      </c>
      <c r="R64" t="str">
        <f ca="1">+_xlfn.XLOOKUP($B64,settimana!$A:$A,settimana!H:H)</f>
        <v>Riposo</v>
      </c>
    </row>
    <row r="65" spans="7:9">
      <c r="G65" s="6"/>
      <c r="H65" s="6"/>
      <c r="I65" s="6"/>
    </row>
    <row r="66" spans="7:9">
      <c r="G66" s="6"/>
      <c r="H66" s="6"/>
      <c r="I66" s="6"/>
    </row>
    <row r="67" spans="7:9">
      <c r="G67" s="6"/>
      <c r="H67" s="6"/>
      <c r="I67" s="6"/>
    </row>
    <row r="68" spans="7:9">
      <c r="G68" s="6"/>
      <c r="H68" s="6"/>
      <c r="I68" s="6"/>
    </row>
    <row r="69" spans="7:9">
      <c r="G69" s="6"/>
      <c r="H69" s="6"/>
      <c r="I69" s="6"/>
    </row>
    <row r="70" spans="7:9">
      <c r="G70" s="6"/>
      <c r="H70" s="6"/>
      <c r="I70" s="6"/>
    </row>
    <row r="71" spans="7:9">
      <c r="G71" s="6"/>
      <c r="H71" s="6"/>
      <c r="I71" s="6"/>
    </row>
    <row r="72" spans="7:9">
      <c r="G72" s="6"/>
      <c r="H72" s="6"/>
      <c r="I72" s="6"/>
    </row>
    <row r="73" spans="7:9">
      <c r="G73" s="6"/>
      <c r="H73" s="6"/>
      <c r="I73" s="6"/>
    </row>
    <row r="74" spans="7:9">
      <c r="G74" s="6"/>
      <c r="H74" s="6"/>
      <c r="I74" s="6"/>
    </row>
    <row r="75" spans="7:9">
      <c r="G75" s="6"/>
      <c r="H75" s="6"/>
      <c r="I75" s="6"/>
    </row>
    <row r="76" spans="7:9">
      <c r="G76" s="6"/>
      <c r="H76" s="6"/>
      <c r="I76" s="6"/>
    </row>
    <row r="77" spans="7:9">
      <c r="G77" s="6"/>
      <c r="H77" s="6"/>
      <c r="I77" s="6"/>
    </row>
    <row r="78" spans="7:9">
      <c r="G78" s="6"/>
      <c r="H78" s="6"/>
      <c r="I78" s="6"/>
    </row>
    <row r="79" spans="7:9">
      <c r="G79" s="6"/>
      <c r="H79" s="6"/>
      <c r="I79" s="6"/>
    </row>
    <row r="80" spans="7:9">
      <c r="G80" s="6"/>
      <c r="H80" s="6"/>
      <c r="I80" s="6"/>
    </row>
    <row r="81" spans="7:9">
      <c r="G81" s="6"/>
      <c r="H81" s="6"/>
      <c r="I81" s="6"/>
    </row>
    <row r="82" spans="7:9">
      <c r="G82" s="6"/>
      <c r="H82" s="6"/>
      <c r="I82" s="6"/>
    </row>
    <row r="83" spans="7:9">
      <c r="G83" s="6"/>
      <c r="H83" s="6"/>
      <c r="I83" s="6"/>
    </row>
    <row r="84" spans="7:9">
      <c r="G84" s="6"/>
      <c r="H84" s="6"/>
      <c r="I84" s="6"/>
    </row>
    <row r="85" spans="7:9">
      <c r="G85" s="6"/>
      <c r="H85" s="6"/>
      <c r="I85" s="6"/>
    </row>
    <row r="86" spans="7:9">
      <c r="G86" s="6"/>
      <c r="H86" s="6"/>
      <c r="I86" s="6"/>
    </row>
    <row r="87" spans="7:9">
      <c r="G87" s="6"/>
      <c r="H87" s="6"/>
      <c r="I87" s="6"/>
    </row>
    <row r="88" spans="7:9">
      <c r="G88" s="6"/>
      <c r="H88" s="6"/>
      <c r="I88" s="6"/>
    </row>
    <row r="89" spans="7:9">
      <c r="G89" s="6"/>
      <c r="H89" s="6"/>
      <c r="I89" s="6"/>
    </row>
    <row r="90" spans="7:9">
      <c r="G90" s="6"/>
      <c r="H90" s="6"/>
      <c r="I90" s="6"/>
    </row>
    <row r="91" spans="7:9">
      <c r="G91" s="6"/>
      <c r="H91" s="6"/>
      <c r="I91" s="6"/>
    </row>
    <row r="92" spans="7:9">
      <c r="G92" s="6"/>
      <c r="H92" s="6"/>
      <c r="I92" s="6"/>
    </row>
    <row r="93" spans="7:9">
      <c r="G93" s="6"/>
      <c r="H93" s="6"/>
      <c r="I93" s="6"/>
    </row>
    <row r="94" spans="7:9">
      <c r="G94" s="6"/>
      <c r="H94" s="6"/>
      <c r="I94" s="6"/>
    </row>
    <row r="95" spans="7:9">
      <c r="G95" s="6"/>
      <c r="H95" s="6"/>
      <c r="I95" s="6"/>
    </row>
    <row r="96" spans="7:9">
      <c r="G96" s="6"/>
      <c r="H96" s="6"/>
      <c r="I96" s="6"/>
    </row>
    <row r="97" spans="7:9">
      <c r="G97" s="6"/>
      <c r="H97" s="6"/>
      <c r="I97" s="6"/>
    </row>
    <row r="98" spans="7:9">
      <c r="G98" s="6"/>
      <c r="H98" s="6"/>
      <c r="I98" s="6"/>
    </row>
    <row r="99" spans="7:9">
      <c r="G99" s="6"/>
      <c r="H99" s="6"/>
      <c r="I99" s="6"/>
    </row>
    <row r="100" spans="7:9">
      <c r="G100" s="6"/>
      <c r="H100" s="6"/>
      <c r="I100" s="6"/>
    </row>
    <row r="101" spans="7:9">
      <c r="G101" s="6"/>
      <c r="H101" s="6"/>
      <c r="I101" s="6"/>
    </row>
    <row r="102" spans="7:9">
      <c r="G102" s="6"/>
      <c r="H102" s="6"/>
      <c r="I102" s="6"/>
    </row>
    <row r="103" spans="7:9">
      <c r="G103" s="6"/>
      <c r="H103" s="6"/>
      <c r="I103" s="6"/>
    </row>
    <row r="104" spans="7:9">
      <c r="G104" s="6"/>
      <c r="H104" s="6"/>
      <c r="I104" s="6"/>
    </row>
    <row r="105" spans="7:9">
      <c r="G105" s="6"/>
      <c r="H105" s="6"/>
      <c r="I105" s="6"/>
    </row>
    <row r="106" spans="7:9">
      <c r="G106" s="6"/>
      <c r="H106" s="6"/>
      <c r="I106" s="6"/>
    </row>
    <row r="107" spans="7:9">
      <c r="G107" s="6"/>
      <c r="H107" s="6"/>
      <c r="I107" s="6"/>
    </row>
    <row r="108" spans="7:9">
      <c r="G108" s="6"/>
      <c r="H108" s="6"/>
      <c r="I108" s="6"/>
    </row>
    <row r="109" spans="7:9">
      <c r="G109" s="6"/>
      <c r="H109" s="6"/>
      <c r="I109" s="6"/>
    </row>
    <row r="110" spans="7:9">
      <c r="G110" s="6"/>
      <c r="H110" s="6"/>
      <c r="I110" s="6"/>
    </row>
    <row r="111" spans="7:9">
      <c r="G111" s="6"/>
      <c r="H111" s="6"/>
      <c r="I111" s="6"/>
    </row>
    <row r="112" spans="7:9">
      <c r="G112" s="6"/>
      <c r="H112" s="6"/>
      <c r="I112" s="6"/>
    </row>
    <row r="113" spans="7:9">
      <c r="G113" s="6"/>
      <c r="H113" s="6"/>
      <c r="I113" s="6"/>
    </row>
    <row r="114" spans="7:9">
      <c r="G114" s="6"/>
      <c r="H114" s="6"/>
      <c r="I114" s="6"/>
    </row>
    <row r="115" spans="7:9">
      <c r="G115" s="6"/>
      <c r="H115" s="6"/>
      <c r="I115" s="6"/>
    </row>
    <row r="116" spans="7:9">
      <c r="G116" s="6"/>
      <c r="H116" s="6"/>
      <c r="I116" s="6"/>
    </row>
    <row r="117" spans="7:9">
      <c r="G117" s="6"/>
      <c r="H117" s="6"/>
      <c r="I117" s="6"/>
    </row>
    <row r="118" spans="7:9">
      <c r="G118" s="6"/>
      <c r="H118" s="6"/>
      <c r="I118" s="6"/>
    </row>
    <row r="119" spans="7:9">
      <c r="G119" s="6"/>
      <c r="H119" s="6"/>
      <c r="I119" s="6"/>
    </row>
    <row r="120" spans="7:9">
      <c r="G120" s="6"/>
      <c r="H120" s="6"/>
      <c r="I120" s="6"/>
    </row>
    <row r="121" spans="7:9">
      <c r="G121" s="6"/>
      <c r="H121" s="6"/>
      <c r="I121" s="6"/>
    </row>
    <row r="122" spans="7:9">
      <c r="G122" s="6"/>
      <c r="H122" s="6"/>
      <c r="I122" s="6"/>
    </row>
    <row r="123" spans="7:9">
      <c r="G123" s="6"/>
      <c r="H123" s="6"/>
      <c r="I123" s="6"/>
    </row>
    <row r="124" spans="7:9">
      <c r="G124" s="6"/>
      <c r="H124" s="6"/>
      <c r="I124" s="6"/>
    </row>
    <row r="125" spans="7:9">
      <c r="G125" s="6"/>
      <c r="H125" s="6"/>
      <c r="I125" s="6"/>
    </row>
    <row r="126" spans="7:9">
      <c r="G126" s="6"/>
      <c r="H126" s="6"/>
      <c r="I126" s="6"/>
    </row>
    <row r="127" spans="7:9">
      <c r="G127" s="6"/>
      <c r="H127" s="6"/>
      <c r="I127" s="6"/>
    </row>
    <row r="128" spans="7:9">
      <c r="G128" s="6"/>
      <c r="H128" s="6"/>
      <c r="I128" s="6"/>
    </row>
    <row r="129" spans="7:9">
      <c r="G129" s="6"/>
      <c r="H129" s="6"/>
      <c r="I129" s="6"/>
    </row>
    <row r="130" spans="7:9">
      <c r="G130" s="6"/>
      <c r="H130" s="6"/>
      <c r="I130" s="6"/>
    </row>
    <row r="131" spans="7:9">
      <c r="G131" s="6"/>
      <c r="H131" s="6"/>
      <c r="I131" s="6"/>
    </row>
    <row r="132" spans="7:9">
      <c r="G132" s="6"/>
      <c r="H132" s="6"/>
      <c r="I132" s="6"/>
    </row>
    <row r="133" spans="7:9">
      <c r="G133" s="6"/>
      <c r="H133" s="6"/>
      <c r="I133" s="6"/>
    </row>
    <row r="134" spans="7:9">
      <c r="G134" s="6"/>
      <c r="H134" s="6"/>
      <c r="I134" s="6"/>
    </row>
    <row r="135" spans="7:9">
      <c r="G135" s="6"/>
      <c r="H135" s="6"/>
      <c r="I135" s="6"/>
    </row>
    <row r="136" spans="7:9">
      <c r="G136" s="6"/>
      <c r="H136" s="6"/>
      <c r="I136" s="6"/>
    </row>
    <row r="137" spans="7:9">
      <c r="G137" s="6"/>
      <c r="H137" s="6"/>
      <c r="I137" s="6"/>
    </row>
    <row r="138" spans="7:9">
      <c r="G138" s="6"/>
      <c r="H138" s="6"/>
      <c r="I138" s="6"/>
    </row>
    <row r="139" spans="7:9">
      <c r="G139" s="6"/>
      <c r="H139" s="6"/>
      <c r="I139" s="6"/>
    </row>
    <row r="140" spans="7:9">
      <c r="G140" s="6"/>
      <c r="H140" s="6"/>
      <c r="I140" s="6"/>
    </row>
    <row r="141" spans="7:9">
      <c r="G141" s="6"/>
      <c r="H141" s="6"/>
      <c r="I141" s="6"/>
    </row>
    <row r="142" spans="7:9">
      <c r="G142" s="6"/>
      <c r="H142" s="6"/>
      <c r="I142" s="6"/>
    </row>
    <row r="143" spans="7:9">
      <c r="G143" s="6"/>
      <c r="H143" s="6"/>
      <c r="I143" s="6"/>
    </row>
    <row r="144" spans="7:9">
      <c r="G144" s="6"/>
      <c r="H144" s="6"/>
      <c r="I144" s="6"/>
    </row>
  </sheetData>
  <autoFilter ref="A1:K64" xr:uid="{BAB51232-DE35-4AFA-A353-AF5CBD54AEA2}"/>
  <phoneticPr fontId="4" type="noConversion"/>
  <conditionalFormatting sqref="B2:B144">
    <cfRule type="duplicateValues" dxfId="2" priority="2"/>
  </conditionalFormatting>
  <conditionalFormatting sqref="A2:A64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275AC-CDC7-4613-BB62-04C6414C59F1}">
  <sheetPr codeName="Foglio4"/>
  <dimension ref="A1:J65"/>
  <sheetViews>
    <sheetView topLeftCell="A47" workbookViewId="0">
      <selection activeCell="G3" sqref="G3:H65"/>
    </sheetView>
  </sheetViews>
  <sheetFormatPr defaultRowHeight="14.25"/>
  <cols>
    <col min="1" max="1" width="19.59765625" bestFit="1" customWidth="1"/>
    <col min="4" max="4" width="55.9296875" bestFit="1" customWidth="1"/>
  </cols>
  <sheetData>
    <row r="1" spans="1:10">
      <c r="E1" s="18">
        <v>40</v>
      </c>
      <c r="F1" s="18"/>
      <c r="G1" s="18">
        <v>41</v>
      </c>
      <c r="H1" s="18"/>
      <c r="I1" s="18"/>
      <c r="J1" s="18"/>
    </row>
    <row r="2" spans="1:10">
      <c r="A2" t="s">
        <v>226</v>
      </c>
      <c r="B2" t="s">
        <v>225</v>
      </c>
      <c r="C2" t="s">
        <v>224</v>
      </c>
      <c r="E2" s="7" t="s">
        <v>227</v>
      </c>
      <c r="F2" s="7" t="s">
        <v>228</v>
      </c>
      <c r="G2" s="7" t="s">
        <v>227</v>
      </c>
      <c r="H2" s="7" t="s">
        <v>228</v>
      </c>
      <c r="I2" s="7"/>
      <c r="J2" s="7"/>
    </row>
    <row r="3" spans="1:10">
      <c r="A3" t="s">
        <v>434</v>
      </c>
      <c r="B3">
        <v>4</v>
      </c>
      <c r="C3">
        <v>2</v>
      </c>
      <c r="E3" s="7">
        <v>0.375</v>
      </c>
      <c r="F3" s="7">
        <v>0.875</v>
      </c>
      <c r="G3" s="7">
        <f>+IF(E3*24=9,15/24,9/24)</f>
        <v>0.625</v>
      </c>
      <c r="H3" s="7">
        <f>+IF(E3*24=9,21/24,15/24)</f>
        <v>0.875</v>
      </c>
      <c r="I3" s="7"/>
      <c r="J3" s="7"/>
    </row>
    <row r="4" spans="1:10">
      <c r="A4" t="s">
        <v>435</v>
      </c>
      <c r="B4">
        <v>4</v>
      </c>
      <c r="C4">
        <v>2</v>
      </c>
      <c r="E4" s="7">
        <v>0.625</v>
      </c>
      <c r="F4" s="7">
        <v>0.875</v>
      </c>
      <c r="G4" s="7">
        <f t="shared" ref="G4:G30" si="0">+IF(E4*24=9,15/24,9/24)</f>
        <v>0.375</v>
      </c>
      <c r="H4" s="7">
        <f t="shared" ref="H4:H30" si="1">+IF(E4*24=9,21/24,15/24)</f>
        <v>0.625</v>
      </c>
      <c r="I4" s="7"/>
      <c r="J4" s="7"/>
    </row>
    <row r="5" spans="1:10">
      <c r="A5" t="s">
        <v>436</v>
      </c>
      <c r="B5">
        <v>4</v>
      </c>
      <c r="C5">
        <v>2</v>
      </c>
      <c r="D5" t="s">
        <v>532</v>
      </c>
      <c r="E5" s="7">
        <v>0.375</v>
      </c>
      <c r="F5" s="7">
        <v>0.54166666666666663</v>
      </c>
      <c r="G5" s="17">
        <v>0.375</v>
      </c>
      <c r="H5" s="17">
        <v>0.54166666666666663</v>
      </c>
      <c r="I5" s="7"/>
      <c r="J5" s="7"/>
    </row>
    <row r="6" spans="1:10">
      <c r="A6" t="s">
        <v>437</v>
      </c>
      <c r="B6">
        <v>4</v>
      </c>
      <c r="C6">
        <v>2</v>
      </c>
      <c r="D6" t="s">
        <v>533</v>
      </c>
      <c r="E6" s="7">
        <v>0.375</v>
      </c>
      <c r="F6" s="7">
        <v>0.54166666666666663</v>
      </c>
      <c r="G6" s="17">
        <v>0.375</v>
      </c>
      <c r="H6" s="17">
        <v>0.54166666666666663</v>
      </c>
      <c r="I6" s="7"/>
      <c r="J6" s="7"/>
    </row>
    <row r="7" spans="1:10">
      <c r="A7" t="s">
        <v>438</v>
      </c>
      <c r="B7">
        <v>4</v>
      </c>
      <c r="C7">
        <v>2</v>
      </c>
      <c r="D7" t="s">
        <v>532</v>
      </c>
      <c r="E7" s="7">
        <v>0.375</v>
      </c>
      <c r="F7" s="7">
        <v>0.54166666666666663</v>
      </c>
      <c r="G7" s="17">
        <v>0.375</v>
      </c>
      <c r="H7" s="17">
        <v>0.54166666666666663</v>
      </c>
      <c r="I7" s="7"/>
      <c r="J7" s="7"/>
    </row>
    <row r="8" spans="1:10">
      <c r="A8" t="s">
        <v>439</v>
      </c>
      <c r="B8">
        <v>4</v>
      </c>
      <c r="C8">
        <v>2</v>
      </c>
      <c r="D8" t="s">
        <v>532</v>
      </c>
      <c r="E8" s="7">
        <v>0.375</v>
      </c>
      <c r="F8" s="7">
        <v>0.54166666666666663</v>
      </c>
      <c r="G8" s="17">
        <v>0.375</v>
      </c>
      <c r="H8" s="17">
        <v>0.54166666666666663</v>
      </c>
      <c r="I8" s="7"/>
      <c r="J8" s="7"/>
    </row>
    <row r="9" spans="1:10">
      <c r="A9" t="s">
        <v>440</v>
      </c>
      <c r="B9">
        <v>4</v>
      </c>
      <c r="C9">
        <v>2</v>
      </c>
      <c r="E9" s="7">
        <v>0.625</v>
      </c>
      <c r="F9" s="7">
        <v>0.875</v>
      </c>
      <c r="G9" s="7">
        <f t="shared" si="0"/>
        <v>0.375</v>
      </c>
      <c r="H9" s="7">
        <f t="shared" si="1"/>
        <v>0.625</v>
      </c>
      <c r="I9" s="7"/>
      <c r="J9" s="7"/>
    </row>
    <row r="10" spans="1:10">
      <c r="A10" t="s">
        <v>441</v>
      </c>
      <c r="B10">
        <v>4</v>
      </c>
      <c r="C10">
        <v>2</v>
      </c>
      <c r="E10" s="7">
        <v>0.625</v>
      </c>
      <c r="F10" s="7">
        <v>0.875</v>
      </c>
      <c r="G10" s="7">
        <f t="shared" si="0"/>
        <v>0.375</v>
      </c>
      <c r="H10" s="7">
        <f t="shared" si="1"/>
        <v>0.625</v>
      </c>
      <c r="I10" s="7"/>
      <c r="J10" s="7"/>
    </row>
    <row r="11" spans="1:10">
      <c r="A11" t="s">
        <v>442</v>
      </c>
      <c r="B11">
        <v>4</v>
      </c>
      <c r="C11">
        <v>2</v>
      </c>
      <c r="E11" s="7">
        <v>0.625</v>
      </c>
      <c r="F11" s="7">
        <v>0.875</v>
      </c>
      <c r="G11" s="7">
        <f t="shared" si="0"/>
        <v>0.375</v>
      </c>
      <c r="H11" s="7">
        <f t="shared" si="1"/>
        <v>0.625</v>
      </c>
      <c r="I11" s="7"/>
      <c r="J11" s="7"/>
    </row>
    <row r="12" spans="1:10">
      <c r="A12" t="s">
        <v>443</v>
      </c>
      <c r="B12">
        <v>4</v>
      </c>
      <c r="C12">
        <v>2</v>
      </c>
      <c r="E12" s="7">
        <v>0.375</v>
      </c>
      <c r="F12" s="7">
        <v>0.875</v>
      </c>
      <c r="G12" s="7">
        <f t="shared" si="0"/>
        <v>0.625</v>
      </c>
      <c r="H12" s="7">
        <f t="shared" si="1"/>
        <v>0.875</v>
      </c>
      <c r="I12" s="7"/>
      <c r="J12" s="7"/>
    </row>
    <row r="13" spans="1:10">
      <c r="A13" t="s">
        <v>444</v>
      </c>
      <c r="B13">
        <v>4</v>
      </c>
      <c r="C13">
        <v>2</v>
      </c>
      <c r="E13" s="7">
        <v>0.625</v>
      </c>
      <c r="F13" s="7">
        <v>0.875</v>
      </c>
      <c r="G13" s="7">
        <f t="shared" si="0"/>
        <v>0.375</v>
      </c>
      <c r="H13" s="7">
        <f t="shared" si="1"/>
        <v>0.625</v>
      </c>
      <c r="I13" s="7"/>
      <c r="J13" s="7"/>
    </row>
    <row r="14" spans="1:10">
      <c r="A14" t="s">
        <v>445</v>
      </c>
      <c r="B14">
        <v>4</v>
      </c>
      <c r="C14">
        <v>2</v>
      </c>
      <c r="D14" t="s">
        <v>534</v>
      </c>
      <c r="E14" s="7">
        <v>0.375</v>
      </c>
      <c r="F14" s="7">
        <v>0.54166666666666663</v>
      </c>
      <c r="G14" s="17">
        <v>0.375</v>
      </c>
      <c r="H14" s="17">
        <v>0.54166666666666663</v>
      </c>
      <c r="I14" s="7"/>
      <c r="J14" s="7"/>
    </row>
    <row r="15" spans="1:10">
      <c r="A15" t="s">
        <v>446</v>
      </c>
      <c r="B15">
        <v>4</v>
      </c>
      <c r="C15">
        <v>2</v>
      </c>
      <c r="E15" s="7">
        <v>0.375</v>
      </c>
      <c r="F15" s="7">
        <v>0.625</v>
      </c>
      <c r="G15" s="7">
        <f t="shared" si="0"/>
        <v>0.625</v>
      </c>
      <c r="H15" s="7">
        <f t="shared" si="1"/>
        <v>0.875</v>
      </c>
      <c r="I15" s="7"/>
      <c r="J15" s="7"/>
    </row>
    <row r="16" spans="1:10">
      <c r="A16" t="s">
        <v>447</v>
      </c>
      <c r="B16">
        <v>4</v>
      </c>
      <c r="C16">
        <v>2</v>
      </c>
      <c r="E16" s="7">
        <v>0.625</v>
      </c>
      <c r="F16" s="7">
        <v>0.875</v>
      </c>
      <c r="G16" s="7">
        <f t="shared" si="0"/>
        <v>0.375</v>
      </c>
      <c r="H16" s="7">
        <f t="shared" si="1"/>
        <v>0.625</v>
      </c>
      <c r="I16" s="7"/>
      <c r="J16" s="7"/>
    </row>
    <row r="17" spans="1:10">
      <c r="A17" t="s">
        <v>448</v>
      </c>
      <c r="B17">
        <v>4</v>
      </c>
      <c r="C17">
        <v>2</v>
      </c>
      <c r="E17" s="7">
        <v>0.375</v>
      </c>
      <c r="F17" s="7">
        <v>0.875</v>
      </c>
      <c r="G17" s="7">
        <f t="shared" si="0"/>
        <v>0.625</v>
      </c>
      <c r="H17" s="7">
        <f t="shared" si="1"/>
        <v>0.875</v>
      </c>
      <c r="I17" s="7"/>
      <c r="J17" s="7"/>
    </row>
    <row r="18" spans="1:10">
      <c r="A18" t="s">
        <v>449</v>
      </c>
      <c r="B18">
        <v>4</v>
      </c>
      <c r="C18">
        <v>2</v>
      </c>
      <c r="E18" s="7">
        <v>0.375</v>
      </c>
      <c r="F18" s="7">
        <v>0.875</v>
      </c>
      <c r="G18" s="7">
        <f t="shared" si="0"/>
        <v>0.625</v>
      </c>
      <c r="H18" s="7">
        <f t="shared" si="1"/>
        <v>0.875</v>
      </c>
      <c r="I18" s="7"/>
      <c r="J18" s="7"/>
    </row>
    <row r="19" spans="1:10">
      <c r="A19" t="s">
        <v>450</v>
      </c>
      <c r="B19">
        <v>4</v>
      </c>
      <c r="C19">
        <v>2</v>
      </c>
      <c r="E19" s="7">
        <v>0.375</v>
      </c>
      <c r="F19" s="7">
        <v>0.625</v>
      </c>
      <c r="G19" s="7">
        <f t="shared" si="0"/>
        <v>0.625</v>
      </c>
      <c r="H19" s="7">
        <f t="shared" si="1"/>
        <v>0.875</v>
      </c>
      <c r="I19" s="7"/>
      <c r="J19" s="7"/>
    </row>
    <row r="20" spans="1:10">
      <c r="A20" t="s">
        <v>451</v>
      </c>
      <c r="B20">
        <v>4</v>
      </c>
      <c r="C20">
        <v>2</v>
      </c>
      <c r="E20" s="7">
        <v>0.625</v>
      </c>
      <c r="F20" s="7">
        <v>0.875</v>
      </c>
      <c r="G20" s="7">
        <f t="shared" si="0"/>
        <v>0.375</v>
      </c>
      <c r="H20" s="7">
        <f t="shared" si="1"/>
        <v>0.625</v>
      </c>
      <c r="I20" s="7"/>
      <c r="J20" s="7"/>
    </row>
    <row r="21" spans="1:10">
      <c r="A21" t="s">
        <v>452</v>
      </c>
      <c r="B21">
        <v>4</v>
      </c>
      <c r="C21">
        <v>2</v>
      </c>
      <c r="E21" s="7">
        <v>0.625</v>
      </c>
      <c r="F21" s="7">
        <v>0.875</v>
      </c>
      <c r="G21" s="7">
        <f t="shared" si="0"/>
        <v>0.375</v>
      </c>
      <c r="H21" s="7">
        <f t="shared" si="1"/>
        <v>0.625</v>
      </c>
      <c r="I21" s="7"/>
      <c r="J21" s="7"/>
    </row>
    <row r="22" spans="1:10">
      <c r="A22" t="s">
        <v>453</v>
      </c>
      <c r="B22">
        <v>4</v>
      </c>
      <c r="C22">
        <v>2</v>
      </c>
      <c r="E22" s="7">
        <v>0.375</v>
      </c>
      <c r="F22" s="7">
        <v>0.875</v>
      </c>
      <c r="G22" s="7">
        <f t="shared" si="0"/>
        <v>0.625</v>
      </c>
      <c r="H22" s="7">
        <f t="shared" si="1"/>
        <v>0.875</v>
      </c>
      <c r="I22" s="7"/>
      <c r="J22" s="7"/>
    </row>
    <row r="23" spans="1:10">
      <c r="A23" t="s">
        <v>454</v>
      </c>
      <c r="B23">
        <v>4</v>
      </c>
      <c r="C23">
        <v>2</v>
      </c>
      <c r="E23" s="7">
        <v>0.375</v>
      </c>
      <c r="F23" s="7">
        <v>0.625</v>
      </c>
      <c r="G23" s="7">
        <f t="shared" si="0"/>
        <v>0.625</v>
      </c>
      <c r="H23" s="7">
        <f t="shared" si="1"/>
        <v>0.875</v>
      </c>
      <c r="I23" s="7"/>
      <c r="J23" s="7"/>
    </row>
    <row r="24" spans="1:10">
      <c r="A24" t="s">
        <v>455</v>
      </c>
      <c r="B24">
        <v>4</v>
      </c>
      <c r="C24">
        <v>2</v>
      </c>
      <c r="E24" s="7">
        <v>0.625</v>
      </c>
      <c r="F24" s="7">
        <v>0.875</v>
      </c>
      <c r="G24" s="7">
        <f t="shared" si="0"/>
        <v>0.375</v>
      </c>
      <c r="H24" s="7">
        <f t="shared" si="1"/>
        <v>0.625</v>
      </c>
      <c r="I24" s="7"/>
      <c r="J24" s="7"/>
    </row>
    <row r="25" spans="1:10">
      <c r="A25" t="s">
        <v>456</v>
      </c>
      <c r="B25">
        <v>4</v>
      </c>
      <c r="C25">
        <v>2</v>
      </c>
      <c r="D25" t="s">
        <v>535</v>
      </c>
      <c r="E25" s="7">
        <v>0.375</v>
      </c>
      <c r="F25" s="7">
        <v>0.54166666666666663</v>
      </c>
      <c r="G25" s="17">
        <v>0.375</v>
      </c>
      <c r="H25" s="17">
        <v>0.54166666666666663</v>
      </c>
      <c r="I25" s="7"/>
      <c r="J25" s="7"/>
    </row>
    <row r="26" spans="1:10">
      <c r="A26" t="s">
        <v>457</v>
      </c>
      <c r="B26">
        <v>4</v>
      </c>
      <c r="C26">
        <v>2</v>
      </c>
      <c r="E26" s="7">
        <v>0.375</v>
      </c>
      <c r="F26" s="7">
        <v>0.875</v>
      </c>
      <c r="G26" s="7">
        <f t="shared" si="0"/>
        <v>0.625</v>
      </c>
      <c r="H26" s="7">
        <f t="shared" si="1"/>
        <v>0.875</v>
      </c>
      <c r="I26" s="7"/>
      <c r="J26" s="7"/>
    </row>
    <row r="27" spans="1:10">
      <c r="A27" t="s">
        <v>458</v>
      </c>
      <c r="B27">
        <v>4</v>
      </c>
      <c r="C27">
        <v>2</v>
      </c>
      <c r="E27" s="7">
        <v>0.625</v>
      </c>
      <c r="F27" s="7">
        <v>0.875</v>
      </c>
      <c r="G27" s="7">
        <f t="shared" si="0"/>
        <v>0.375</v>
      </c>
      <c r="H27" s="7">
        <f t="shared" si="1"/>
        <v>0.625</v>
      </c>
      <c r="I27" s="7"/>
      <c r="J27" s="7"/>
    </row>
    <row r="28" spans="1:10">
      <c r="A28" t="s">
        <v>459</v>
      </c>
      <c r="B28">
        <v>4</v>
      </c>
      <c r="C28">
        <v>2</v>
      </c>
      <c r="E28" s="7">
        <v>0.625</v>
      </c>
      <c r="F28" s="7">
        <v>0.875</v>
      </c>
      <c r="G28" s="7">
        <f t="shared" si="0"/>
        <v>0.375</v>
      </c>
      <c r="H28" s="7">
        <f t="shared" si="1"/>
        <v>0.625</v>
      </c>
      <c r="I28" s="7"/>
      <c r="J28" s="7"/>
    </row>
    <row r="29" spans="1:10">
      <c r="A29" t="s">
        <v>460</v>
      </c>
      <c r="B29">
        <v>4</v>
      </c>
      <c r="C29">
        <v>2</v>
      </c>
      <c r="E29" s="7">
        <v>0.375</v>
      </c>
      <c r="F29" s="7">
        <v>0.625</v>
      </c>
      <c r="G29" s="7">
        <f t="shared" si="0"/>
        <v>0.625</v>
      </c>
      <c r="H29" s="7">
        <f t="shared" si="1"/>
        <v>0.875</v>
      </c>
      <c r="I29" s="7"/>
      <c r="J29" s="7"/>
    </row>
    <row r="30" spans="1:10">
      <c r="A30" t="s">
        <v>461</v>
      </c>
      <c r="B30">
        <v>4</v>
      </c>
      <c r="C30">
        <v>2</v>
      </c>
      <c r="E30" s="7">
        <v>0.375</v>
      </c>
      <c r="F30" s="7">
        <v>0.625</v>
      </c>
      <c r="G30" s="7">
        <f t="shared" si="0"/>
        <v>0.625</v>
      </c>
      <c r="H30" s="7">
        <f t="shared" si="1"/>
        <v>0.875</v>
      </c>
      <c r="I30" s="7"/>
      <c r="J30" s="7"/>
    </row>
    <row r="31" spans="1:10">
      <c r="A31" t="s">
        <v>462</v>
      </c>
      <c r="B31">
        <v>4</v>
      </c>
      <c r="C31">
        <v>2</v>
      </c>
      <c r="D31" t="s">
        <v>536</v>
      </c>
      <c r="E31" s="7">
        <v>0.625</v>
      </c>
      <c r="F31" s="7">
        <v>0.875</v>
      </c>
      <c r="G31" s="7">
        <f t="shared" ref="G31:G65" si="2">+IF(E31*24=9,15/24,9/24)</f>
        <v>0.375</v>
      </c>
      <c r="H31" s="7">
        <f t="shared" ref="H31:H65" si="3">+IF(E31*24=9,21/24,15/24)</f>
        <v>0.625</v>
      </c>
    </row>
    <row r="32" spans="1:10">
      <c r="A32" t="s">
        <v>463</v>
      </c>
      <c r="B32">
        <v>4</v>
      </c>
      <c r="C32">
        <v>2</v>
      </c>
      <c r="D32" t="s">
        <v>537</v>
      </c>
      <c r="E32" s="7">
        <v>0.375</v>
      </c>
      <c r="F32" s="7">
        <v>0.875</v>
      </c>
      <c r="G32" s="7">
        <f t="shared" si="2"/>
        <v>0.625</v>
      </c>
      <c r="H32" s="7">
        <f t="shared" si="3"/>
        <v>0.875</v>
      </c>
    </row>
    <row r="33" spans="1:8">
      <c r="A33" t="s">
        <v>464</v>
      </c>
      <c r="B33">
        <v>4</v>
      </c>
      <c r="C33">
        <v>2</v>
      </c>
      <c r="E33" s="7">
        <v>0.375</v>
      </c>
      <c r="F33" s="7">
        <v>0.625</v>
      </c>
      <c r="G33" s="7">
        <f t="shared" si="2"/>
        <v>0.625</v>
      </c>
      <c r="H33" s="7">
        <f t="shared" si="3"/>
        <v>0.875</v>
      </c>
    </row>
    <row r="34" spans="1:8">
      <c r="A34" t="s">
        <v>465</v>
      </c>
      <c r="B34">
        <v>4</v>
      </c>
      <c r="C34">
        <v>2</v>
      </c>
      <c r="E34" s="7">
        <v>0.375</v>
      </c>
      <c r="F34" s="7">
        <v>0.875</v>
      </c>
      <c r="G34" s="7">
        <f t="shared" si="2"/>
        <v>0.625</v>
      </c>
      <c r="H34" s="7">
        <f t="shared" si="3"/>
        <v>0.875</v>
      </c>
    </row>
    <row r="35" spans="1:8">
      <c r="A35" t="s">
        <v>466</v>
      </c>
      <c r="B35">
        <v>4</v>
      </c>
      <c r="C35">
        <v>2</v>
      </c>
      <c r="E35" s="7">
        <v>0.375</v>
      </c>
      <c r="F35" s="7">
        <v>0.625</v>
      </c>
      <c r="G35" s="7">
        <f t="shared" si="2"/>
        <v>0.625</v>
      </c>
      <c r="H35" s="7">
        <f t="shared" si="3"/>
        <v>0.875</v>
      </c>
    </row>
    <row r="36" spans="1:8">
      <c r="A36" t="s">
        <v>467</v>
      </c>
      <c r="B36">
        <v>4</v>
      </c>
      <c r="C36">
        <v>2</v>
      </c>
      <c r="E36" s="7">
        <v>0.375</v>
      </c>
      <c r="F36" s="7">
        <v>0.625</v>
      </c>
      <c r="G36" s="7">
        <f t="shared" si="2"/>
        <v>0.625</v>
      </c>
      <c r="H36" s="7">
        <f t="shared" si="3"/>
        <v>0.875</v>
      </c>
    </row>
    <row r="37" spans="1:8">
      <c r="A37" t="s">
        <v>468</v>
      </c>
      <c r="B37">
        <v>4</v>
      </c>
      <c r="C37">
        <v>2</v>
      </c>
      <c r="E37" s="7">
        <v>0.625</v>
      </c>
      <c r="F37" s="7">
        <v>0.875</v>
      </c>
      <c r="G37" s="7">
        <f t="shared" si="2"/>
        <v>0.375</v>
      </c>
      <c r="H37" s="7">
        <f t="shared" si="3"/>
        <v>0.625</v>
      </c>
    </row>
    <row r="38" spans="1:8">
      <c r="A38" t="s">
        <v>469</v>
      </c>
      <c r="B38">
        <v>4</v>
      </c>
      <c r="C38">
        <v>2</v>
      </c>
      <c r="E38" s="7">
        <v>0.375</v>
      </c>
      <c r="F38" s="7">
        <v>0.625</v>
      </c>
      <c r="G38" s="7">
        <f t="shared" si="2"/>
        <v>0.625</v>
      </c>
      <c r="H38" s="7">
        <f t="shared" si="3"/>
        <v>0.875</v>
      </c>
    </row>
    <row r="39" spans="1:8">
      <c r="A39" t="s">
        <v>470</v>
      </c>
      <c r="B39">
        <v>4</v>
      </c>
      <c r="C39">
        <v>2</v>
      </c>
      <c r="E39" s="7">
        <v>0.625</v>
      </c>
      <c r="F39" s="7">
        <v>0.875</v>
      </c>
      <c r="G39" s="7">
        <f t="shared" si="2"/>
        <v>0.375</v>
      </c>
      <c r="H39" s="7">
        <f t="shared" si="3"/>
        <v>0.625</v>
      </c>
    </row>
    <row r="40" spans="1:8">
      <c r="A40" t="s">
        <v>471</v>
      </c>
      <c r="B40">
        <v>4</v>
      </c>
      <c r="C40">
        <v>2</v>
      </c>
      <c r="D40" t="s">
        <v>538</v>
      </c>
      <c r="E40" s="7">
        <v>0.375</v>
      </c>
      <c r="F40" s="7">
        <v>0.54166666666666663</v>
      </c>
      <c r="G40" s="7">
        <f t="shared" si="2"/>
        <v>0.625</v>
      </c>
      <c r="H40" s="7">
        <f t="shared" si="3"/>
        <v>0.875</v>
      </c>
    </row>
    <row r="41" spans="1:8">
      <c r="A41" t="s">
        <v>472</v>
      </c>
      <c r="B41">
        <v>4</v>
      </c>
      <c r="C41">
        <v>2</v>
      </c>
      <c r="E41" s="7">
        <v>0.625</v>
      </c>
      <c r="F41" s="7">
        <v>0.875</v>
      </c>
      <c r="G41" s="7">
        <f t="shared" si="2"/>
        <v>0.375</v>
      </c>
      <c r="H41" s="7">
        <f t="shared" si="3"/>
        <v>0.625</v>
      </c>
    </row>
    <row r="42" spans="1:8">
      <c r="A42" t="s">
        <v>473</v>
      </c>
      <c r="B42">
        <v>4</v>
      </c>
      <c r="C42">
        <v>2</v>
      </c>
      <c r="E42" s="7">
        <v>0.375</v>
      </c>
      <c r="F42" s="7">
        <v>0.875</v>
      </c>
      <c r="G42" s="7">
        <f t="shared" si="2"/>
        <v>0.625</v>
      </c>
      <c r="H42" s="7">
        <f t="shared" si="3"/>
        <v>0.875</v>
      </c>
    </row>
    <row r="43" spans="1:8">
      <c r="A43" t="s">
        <v>474</v>
      </c>
      <c r="B43">
        <v>4</v>
      </c>
      <c r="C43">
        <v>2</v>
      </c>
      <c r="D43" t="s">
        <v>540</v>
      </c>
      <c r="E43" s="7">
        <v>0.375</v>
      </c>
      <c r="F43" s="7">
        <v>0.54166666666666663</v>
      </c>
      <c r="G43" s="17">
        <v>0.375</v>
      </c>
      <c r="H43" s="17">
        <v>0.54166666666666663</v>
      </c>
    </row>
    <row r="44" spans="1:8">
      <c r="A44" t="s">
        <v>475</v>
      </c>
      <c r="B44">
        <v>4</v>
      </c>
      <c r="C44">
        <v>2</v>
      </c>
      <c r="E44" s="7">
        <v>0.375</v>
      </c>
      <c r="F44" s="7">
        <v>0.625</v>
      </c>
      <c r="G44" s="7">
        <f t="shared" si="2"/>
        <v>0.625</v>
      </c>
      <c r="H44" s="7">
        <f t="shared" si="3"/>
        <v>0.875</v>
      </c>
    </row>
    <row r="45" spans="1:8">
      <c r="A45" t="s">
        <v>476</v>
      </c>
      <c r="B45">
        <v>4</v>
      </c>
      <c r="C45">
        <v>2</v>
      </c>
      <c r="E45" s="7">
        <v>0.625</v>
      </c>
      <c r="F45" s="7">
        <v>0.875</v>
      </c>
      <c r="G45" s="7">
        <f t="shared" si="2"/>
        <v>0.375</v>
      </c>
      <c r="H45" s="7">
        <f t="shared" si="3"/>
        <v>0.625</v>
      </c>
    </row>
    <row r="46" spans="1:8">
      <c r="A46" t="s">
        <v>477</v>
      </c>
      <c r="B46">
        <v>4</v>
      </c>
      <c r="C46">
        <v>2</v>
      </c>
      <c r="D46" t="s">
        <v>541</v>
      </c>
      <c r="E46" s="7">
        <v>0.375</v>
      </c>
      <c r="F46" s="7">
        <v>0.54166666666666663</v>
      </c>
      <c r="G46" s="17">
        <v>0.375</v>
      </c>
      <c r="H46" s="17">
        <v>0.54166666666666663</v>
      </c>
    </row>
    <row r="47" spans="1:8">
      <c r="A47" t="s">
        <v>478</v>
      </c>
      <c r="B47">
        <v>4</v>
      </c>
      <c r="C47">
        <v>2</v>
      </c>
      <c r="E47" s="7">
        <v>0.625</v>
      </c>
      <c r="F47" s="7">
        <v>0.875</v>
      </c>
      <c r="G47" s="7">
        <f t="shared" si="2"/>
        <v>0.375</v>
      </c>
      <c r="H47" s="7">
        <f t="shared" si="3"/>
        <v>0.625</v>
      </c>
    </row>
    <row r="48" spans="1:8">
      <c r="A48" t="s">
        <v>479</v>
      </c>
      <c r="B48">
        <v>4</v>
      </c>
      <c r="C48">
        <v>2</v>
      </c>
      <c r="E48" s="7">
        <v>0.375</v>
      </c>
      <c r="F48" s="7">
        <v>0.625</v>
      </c>
      <c r="G48" s="7">
        <f t="shared" si="2"/>
        <v>0.625</v>
      </c>
      <c r="H48" s="7">
        <f t="shared" si="3"/>
        <v>0.875</v>
      </c>
    </row>
    <row r="49" spans="1:8">
      <c r="A49" t="s">
        <v>480</v>
      </c>
      <c r="B49">
        <v>4</v>
      </c>
      <c r="C49">
        <v>2</v>
      </c>
      <c r="E49" s="7">
        <v>0.625</v>
      </c>
      <c r="F49" s="7">
        <v>0.875</v>
      </c>
      <c r="G49" s="7">
        <f t="shared" si="2"/>
        <v>0.375</v>
      </c>
      <c r="H49" s="7">
        <f t="shared" si="3"/>
        <v>0.625</v>
      </c>
    </row>
    <row r="50" spans="1:8">
      <c r="A50" t="s">
        <v>481</v>
      </c>
      <c r="B50">
        <v>4</v>
      </c>
      <c r="C50">
        <v>2</v>
      </c>
      <c r="E50" s="7">
        <v>0.375</v>
      </c>
      <c r="F50" s="7">
        <v>0.625</v>
      </c>
      <c r="G50" s="7">
        <f t="shared" si="2"/>
        <v>0.625</v>
      </c>
      <c r="H50" s="7">
        <f t="shared" si="3"/>
        <v>0.875</v>
      </c>
    </row>
    <row r="51" spans="1:8">
      <c r="A51" t="s">
        <v>482</v>
      </c>
      <c r="B51">
        <v>4</v>
      </c>
      <c r="C51">
        <v>2</v>
      </c>
      <c r="E51" s="7">
        <v>0.625</v>
      </c>
      <c r="F51" s="7">
        <v>0.875</v>
      </c>
      <c r="G51" s="7">
        <f t="shared" si="2"/>
        <v>0.375</v>
      </c>
      <c r="H51" s="7">
        <f t="shared" si="3"/>
        <v>0.625</v>
      </c>
    </row>
    <row r="52" spans="1:8">
      <c r="A52" t="s">
        <v>483</v>
      </c>
      <c r="B52">
        <v>4</v>
      </c>
      <c r="C52">
        <v>2</v>
      </c>
      <c r="E52" s="7">
        <v>0.375</v>
      </c>
      <c r="F52" s="7">
        <v>0.625</v>
      </c>
      <c r="G52" s="7">
        <f t="shared" si="2"/>
        <v>0.625</v>
      </c>
      <c r="H52" s="7">
        <f t="shared" si="3"/>
        <v>0.875</v>
      </c>
    </row>
    <row r="53" spans="1:8">
      <c r="A53" t="s">
        <v>484</v>
      </c>
      <c r="B53">
        <v>4</v>
      </c>
      <c r="C53">
        <v>2</v>
      </c>
      <c r="D53" t="s">
        <v>542</v>
      </c>
      <c r="E53" s="7">
        <v>0.375</v>
      </c>
      <c r="F53" s="7">
        <v>0.625</v>
      </c>
      <c r="G53" s="7">
        <f t="shared" si="2"/>
        <v>0.625</v>
      </c>
      <c r="H53" s="7">
        <f t="shared" si="3"/>
        <v>0.875</v>
      </c>
    </row>
    <row r="54" spans="1:8">
      <c r="A54" t="s">
        <v>485</v>
      </c>
      <c r="B54">
        <v>4</v>
      </c>
      <c r="C54">
        <v>2</v>
      </c>
      <c r="E54" s="7">
        <v>0.625</v>
      </c>
      <c r="F54" s="7">
        <v>0.875</v>
      </c>
      <c r="G54" s="7">
        <f t="shared" si="2"/>
        <v>0.375</v>
      </c>
      <c r="H54" s="7">
        <f t="shared" si="3"/>
        <v>0.625</v>
      </c>
    </row>
    <row r="55" spans="1:8">
      <c r="A55" t="s">
        <v>486</v>
      </c>
      <c r="B55">
        <v>4</v>
      </c>
      <c r="C55">
        <v>2</v>
      </c>
      <c r="E55" s="7">
        <v>0.375</v>
      </c>
      <c r="F55" s="7">
        <v>0.625</v>
      </c>
      <c r="G55" s="7">
        <f t="shared" si="2"/>
        <v>0.625</v>
      </c>
      <c r="H55" s="7">
        <f t="shared" si="3"/>
        <v>0.875</v>
      </c>
    </row>
    <row r="56" spans="1:8">
      <c r="A56" t="s">
        <v>487</v>
      </c>
      <c r="B56">
        <v>4</v>
      </c>
      <c r="C56">
        <v>2</v>
      </c>
      <c r="E56" s="7">
        <v>0.375</v>
      </c>
      <c r="F56" s="7">
        <v>0.625</v>
      </c>
      <c r="G56" s="7">
        <f t="shared" si="2"/>
        <v>0.625</v>
      </c>
      <c r="H56" s="7">
        <f t="shared" si="3"/>
        <v>0.875</v>
      </c>
    </row>
    <row r="57" spans="1:8">
      <c r="A57" t="s">
        <v>488</v>
      </c>
      <c r="B57">
        <v>4</v>
      </c>
      <c r="C57">
        <v>2</v>
      </c>
      <c r="E57" s="7">
        <v>0.625</v>
      </c>
      <c r="F57" s="7">
        <v>0.875</v>
      </c>
      <c r="G57" s="7">
        <f t="shared" si="2"/>
        <v>0.375</v>
      </c>
      <c r="H57" s="7">
        <f t="shared" si="3"/>
        <v>0.625</v>
      </c>
    </row>
    <row r="58" spans="1:8">
      <c r="A58" t="s">
        <v>489</v>
      </c>
      <c r="B58">
        <v>4</v>
      </c>
      <c r="C58">
        <v>2</v>
      </c>
      <c r="E58" s="7">
        <v>0.375</v>
      </c>
      <c r="F58" s="7">
        <v>0.625</v>
      </c>
      <c r="G58" s="7">
        <f t="shared" si="2"/>
        <v>0.625</v>
      </c>
      <c r="H58" s="7">
        <f t="shared" si="3"/>
        <v>0.875</v>
      </c>
    </row>
    <row r="59" spans="1:8">
      <c r="A59" t="s">
        <v>490</v>
      </c>
      <c r="B59">
        <v>4</v>
      </c>
      <c r="C59">
        <v>2</v>
      </c>
      <c r="E59" s="7">
        <v>0.375</v>
      </c>
      <c r="F59" s="7">
        <v>0.875</v>
      </c>
      <c r="G59" s="7">
        <f t="shared" si="2"/>
        <v>0.625</v>
      </c>
      <c r="H59" s="7">
        <f t="shared" si="3"/>
        <v>0.875</v>
      </c>
    </row>
    <row r="60" spans="1:8">
      <c r="A60" t="s">
        <v>491</v>
      </c>
      <c r="B60">
        <v>4</v>
      </c>
      <c r="C60">
        <v>2</v>
      </c>
      <c r="E60" s="7">
        <v>0.625</v>
      </c>
      <c r="F60" s="7">
        <v>0.875</v>
      </c>
      <c r="G60" s="7">
        <f t="shared" si="2"/>
        <v>0.375</v>
      </c>
      <c r="H60" s="7">
        <f t="shared" si="3"/>
        <v>0.625</v>
      </c>
    </row>
    <row r="61" spans="1:8">
      <c r="A61" t="s">
        <v>492</v>
      </c>
      <c r="B61">
        <v>4</v>
      </c>
      <c r="C61">
        <v>2</v>
      </c>
      <c r="E61" s="7">
        <v>0.375</v>
      </c>
      <c r="F61" s="7">
        <v>0.875</v>
      </c>
      <c r="G61" s="7">
        <f t="shared" si="2"/>
        <v>0.625</v>
      </c>
      <c r="H61" s="7">
        <f t="shared" si="3"/>
        <v>0.875</v>
      </c>
    </row>
    <row r="62" spans="1:8">
      <c r="A62" t="s">
        <v>493</v>
      </c>
      <c r="B62">
        <v>4</v>
      </c>
      <c r="C62">
        <v>2</v>
      </c>
      <c r="E62" s="7">
        <v>0.625</v>
      </c>
      <c r="F62" s="7">
        <v>0.875</v>
      </c>
      <c r="G62" s="7">
        <f t="shared" si="2"/>
        <v>0.375</v>
      </c>
      <c r="H62" s="7">
        <f t="shared" si="3"/>
        <v>0.625</v>
      </c>
    </row>
    <row r="63" spans="1:8">
      <c r="A63" t="s">
        <v>494</v>
      </c>
      <c r="B63">
        <v>4</v>
      </c>
      <c r="C63">
        <v>2</v>
      </c>
      <c r="D63" t="s">
        <v>543</v>
      </c>
      <c r="E63" s="7">
        <v>0.625</v>
      </c>
      <c r="F63" s="7">
        <v>0.875</v>
      </c>
      <c r="G63" s="7">
        <f t="shared" si="2"/>
        <v>0.375</v>
      </c>
      <c r="H63" s="7">
        <f t="shared" si="3"/>
        <v>0.625</v>
      </c>
    </row>
    <row r="64" spans="1:8">
      <c r="A64" t="s">
        <v>495</v>
      </c>
      <c r="B64">
        <v>4</v>
      </c>
      <c r="C64">
        <v>2</v>
      </c>
      <c r="E64" s="7">
        <v>0.625</v>
      </c>
      <c r="F64" s="7">
        <v>0.875</v>
      </c>
      <c r="G64" s="7">
        <f t="shared" si="2"/>
        <v>0.375</v>
      </c>
      <c r="H64" s="7">
        <f t="shared" si="3"/>
        <v>0.625</v>
      </c>
    </row>
    <row r="65" spans="1:8">
      <c r="A65" t="s">
        <v>496</v>
      </c>
      <c r="B65">
        <v>4</v>
      </c>
      <c r="C65">
        <v>2</v>
      </c>
      <c r="E65" s="7">
        <v>0.375</v>
      </c>
      <c r="F65" s="7">
        <v>0.875</v>
      </c>
      <c r="G65" s="7">
        <f t="shared" si="2"/>
        <v>0.625</v>
      </c>
      <c r="H65" s="7">
        <f t="shared" si="3"/>
        <v>0.875</v>
      </c>
    </row>
  </sheetData>
  <mergeCells count="3">
    <mergeCell ref="E1:F1"/>
    <mergeCell ref="G1:H1"/>
    <mergeCell ref="I1:J1"/>
  </mergeCells>
  <conditionalFormatting sqref="A3:A65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40462-219B-447F-8BA0-2C380074A979}">
  <sheetPr codeName="Foglio3"/>
  <dimension ref="A1:S163"/>
  <sheetViews>
    <sheetView topLeftCell="A16" zoomScale="80" zoomScaleNormal="80" workbookViewId="0">
      <selection activeCell="D32" sqref="D32"/>
    </sheetView>
  </sheetViews>
  <sheetFormatPr defaultRowHeight="14.25"/>
  <cols>
    <col min="1" max="1" width="17.265625" bestFit="1" customWidth="1"/>
    <col min="2" max="7" width="10.53125" style="4" bestFit="1" customWidth="1"/>
    <col min="8" max="8" width="9" style="4" bestFit="1" customWidth="1"/>
    <col min="10" max="10" width="16.73046875" bestFit="1" customWidth="1"/>
  </cols>
  <sheetData>
    <row r="1" spans="1:19">
      <c r="B1" s="4" t="s">
        <v>406</v>
      </c>
      <c r="C1" s="4" t="s">
        <v>407</v>
      </c>
      <c r="D1" s="4" t="s">
        <v>408</v>
      </c>
      <c r="E1" s="4" t="s">
        <v>409</v>
      </c>
      <c r="F1" s="4" t="s">
        <v>410</v>
      </c>
      <c r="G1" s="4" t="s">
        <v>411</v>
      </c>
      <c r="H1" s="4" t="s">
        <v>412</v>
      </c>
      <c r="J1" s="4" t="s">
        <v>433</v>
      </c>
      <c r="K1" s="4" t="s">
        <v>406</v>
      </c>
      <c r="L1" s="4" t="s">
        <v>407</v>
      </c>
      <c r="M1" s="4" t="s">
        <v>408</v>
      </c>
      <c r="N1" s="4" t="s">
        <v>409</v>
      </c>
      <c r="O1" s="4" t="s">
        <v>410</v>
      </c>
      <c r="P1" s="4" t="s">
        <v>411</v>
      </c>
      <c r="Q1" s="4" t="s">
        <v>412</v>
      </c>
    </row>
    <row r="2" spans="1:19">
      <c r="A2" t="str">
        <f>+Risorse!B2</f>
        <v>Barresi Vincenza</v>
      </c>
      <c r="B2" s="15" t="str" cm="1">
        <f t="array" aca="1" ref="B2" ca="1">+IF(IFERROR(TEXT(INDEX(INDIRECT("Pianificazione!e1:e800"),MATCH($A2&amp;B$1,INDIRECT("Pianificazione!c1:c800")&amp;INDIRECT("Pianificazione!a1:a800"),0)),"hh:mm"),"")&amp;"-"&amp;IFERROR(TEXT(INDEX(INDIRECT("Pianificazione!f1:f800"),MATCH($A2&amp;B$1,INDIRECT("Pianificazione!c1:c800")&amp;INDIRECT("Pianificazione!a1:a800"),0)),"hh:mm"),"")="-","Riposo",IFERROR(TEXT(INDEX(INDIRECT("Pianificazione!e1:e800"),MATCH($A2&amp;B$1,INDIRECT("Pianificazione!c1:c800")&amp;INDIRECT("Pianificazione!a1:a800"),0)),"hh:mm"),"")&amp;"-"&amp;IFERROR(TEXT(INDEX(INDIRECT("Pianificazione!f1:f800"),MATCH($A2&amp;B$1,INDIRECT("Pianificazione!c1:c800")&amp;INDIRECT("Pianificazione!a1:a800"),0)),"hh:mm"),""))</f>
        <v>Riposo</v>
      </c>
      <c r="C2" s="15" t="str" cm="1">
        <f t="array" aca="1" ref="C2" ca="1">+IF(IFERROR(TEXT(INDEX(INDIRECT("Pianificazione!e1:e800"),MATCH($A2&amp;C$1,INDIRECT("Pianificazione!c1:c800")&amp;INDIRECT("Pianificazione!a1:a800"),0)),"hh:mm"),"")&amp;"-"&amp;IFERROR(TEXT(INDEX(INDIRECT("Pianificazione!f1:f800"),MATCH($A2&amp;C$1,INDIRECT("Pianificazione!c1:c800")&amp;INDIRECT("Pianificazione!a1:a800"),0)),"hh:mm"),"")="-","Riposo",IFERROR(TEXT(INDEX(INDIRECT("Pianificazione!e1:e800"),MATCH($A2&amp;C$1,INDIRECT("Pianificazione!c1:c800")&amp;INDIRECT("Pianificazione!a1:a800"),0)),"hh:mm"),"")&amp;"-"&amp;IFERROR(TEXT(INDEX(INDIRECT("Pianificazione!f1:f800"),MATCH($A2&amp;C$1,INDIRECT("Pianificazione!c1:c800")&amp;INDIRECT("Pianificazione!a1:a800"),0)),"hh:mm"),""))</f>
        <v>Riposo</v>
      </c>
      <c r="D2" s="15" t="str" cm="1">
        <f t="array" aca="1" ref="D2" ca="1">+IF(IFERROR(TEXT(INDEX(INDIRECT("Pianificazione!e1:e800"),MATCH($A2&amp;D$1,INDIRECT("Pianificazione!c1:c800")&amp;INDIRECT("Pianificazione!a1:a800"),0)),"hh:mm"),"")&amp;"-"&amp;IFERROR(TEXT(INDEX(INDIRECT("Pianificazione!f1:f800"),MATCH($A2&amp;D$1,INDIRECT("Pianificazione!c1:c800")&amp;INDIRECT("Pianificazione!a1:a800"),0)),"hh:mm"),"")="-","Riposo",IFERROR(TEXT(INDEX(INDIRECT("Pianificazione!e1:e800"),MATCH($A2&amp;D$1,INDIRECT("Pianificazione!c1:c800")&amp;INDIRECT("Pianificazione!a1:a800"),0)),"hh:mm"),"")&amp;"-"&amp;IFERROR(TEXT(INDEX(INDIRECT("Pianificazione!f1:f800"),MATCH($A2&amp;D$1,INDIRECT("Pianificazione!c1:c800")&amp;INDIRECT("Pianificazione!a1:a800"),0)),"hh:mm"),""))</f>
        <v>Riposo</v>
      </c>
      <c r="E2" s="15" t="str" cm="1">
        <f t="array" aca="1" ref="E2" ca="1">+IF(IFERROR(TEXT(INDEX(INDIRECT("Pianificazione!e1:e800"),MATCH($A2&amp;E$1,INDIRECT("Pianificazione!c1:c800")&amp;INDIRECT("Pianificazione!a1:a800"),0)),"hh:mm"),"")&amp;"-"&amp;IFERROR(TEXT(INDEX(INDIRECT("Pianificazione!f1:f800"),MATCH($A2&amp;E$1,INDIRECT("Pianificazione!c1:c800")&amp;INDIRECT("Pianificazione!a1:a800"),0)),"hh:mm"),"")="-","Riposo",IFERROR(TEXT(INDEX(INDIRECT("Pianificazione!e1:e800"),MATCH($A2&amp;E$1,INDIRECT("Pianificazione!c1:c800")&amp;INDIRECT("Pianificazione!a1:a800"),0)),"hh:mm"),"")&amp;"-"&amp;IFERROR(TEXT(INDEX(INDIRECT("Pianificazione!f1:f800"),MATCH($A2&amp;E$1,INDIRECT("Pianificazione!c1:c800")&amp;INDIRECT("Pianificazione!a1:a800"),0)),"hh:mm"),""))</f>
        <v>Riposo</v>
      </c>
      <c r="F2" s="15" t="str" cm="1">
        <f t="array" aca="1" ref="F2" ca="1">+IF(IFERROR(TEXT(INDEX(INDIRECT("Pianificazione!e1:e800"),MATCH($A2&amp;F$1,INDIRECT("Pianificazione!c1:c800")&amp;INDIRECT("Pianificazione!a1:a800"),0)),"hh:mm"),"")&amp;"-"&amp;IFERROR(TEXT(INDEX(INDIRECT("Pianificazione!f1:f800"),MATCH($A2&amp;F$1,INDIRECT("Pianificazione!c1:c800")&amp;INDIRECT("Pianificazione!a1:a800"),0)),"hh:mm"),"")="-","Riposo",IFERROR(TEXT(INDEX(INDIRECT("Pianificazione!e1:e800"),MATCH($A2&amp;F$1,INDIRECT("Pianificazione!c1:c800")&amp;INDIRECT("Pianificazione!a1:a800"),0)),"hh:mm"),"")&amp;"-"&amp;IFERROR(TEXT(INDEX(INDIRECT("Pianificazione!f1:f800"),MATCH($A2&amp;F$1,INDIRECT("Pianificazione!c1:c800")&amp;INDIRECT("Pianificazione!a1:a800"),0)),"hh:mm"),""))</f>
        <v>Riposo</v>
      </c>
      <c r="G2" s="15" t="str" cm="1">
        <f t="array" aca="1" ref="G2" ca="1">+IF(IFERROR(TEXT(INDEX(INDIRECT("Pianificazione!e1:e800"),MATCH($A2&amp;G$1,INDIRECT("Pianificazione!c1:c800")&amp;INDIRECT("Pianificazione!a1:a800"),0)),"hh:mm"),"")&amp;"-"&amp;IFERROR(TEXT(INDEX(INDIRECT("Pianificazione!f1:f800"),MATCH($A2&amp;G$1,INDIRECT("Pianificazione!c1:c800")&amp;INDIRECT("Pianificazione!a1:a800"),0)),"hh:mm"),"")="-","Riposo",IFERROR(TEXT(INDEX(INDIRECT("Pianificazione!e1:e800"),MATCH($A2&amp;G$1,INDIRECT("Pianificazione!c1:c800")&amp;INDIRECT("Pianificazione!a1:a800"),0)),"hh:mm"),"")&amp;"-"&amp;IFERROR(TEXT(INDEX(INDIRECT("Pianificazione!f1:f800"),MATCH($A2&amp;G$1,INDIRECT("Pianificazione!c1:c800")&amp;INDIRECT("Pianificazione!a1:a800"),0)),"hh:mm"),""))</f>
        <v>Riposo</v>
      </c>
      <c r="H2" s="15" t="str" cm="1">
        <f t="array" aca="1" ref="H2" ca="1">+IF(IFERROR(TEXT(INDEX(INDIRECT("Pianificazione!e1:e800"),MATCH($A2&amp;H$1,INDIRECT("Pianificazione!c1:c800")&amp;INDIRECT("Pianificazione!a1:a800"),0)),"hh:mm"),"")&amp;"-"&amp;IFERROR(TEXT(INDEX(INDIRECT("Pianificazione!f1:f800"),MATCH($A2&amp;H$1,INDIRECT("Pianificazione!c1:c800")&amp;INDIRECT("Pianificazione!a1:a800"),0)),"hh:mm"),"")="-","Riposo",IFERROR(TEXT(INDEX(INDIRECT("Pianificazione!e1:e800"),MATCH($A2&amp;H$1,INDIRECT("Pianificazione!c1:c800")&amp;INDIRECT("Pianificazione!a1:a800"),0)),"hh:mm"),"")&amp;"-"&amp;IFERROR(TEXT(INDEX(INDIRECT("Pianificazione!f1:f800"),MATCH($A2&amp;H$1,INDIRECT("Pianificazione!c1:c800")&amp;INDIRECT("Pianificazione!a1:a800"),0)),"hh:mm"),""))</f>
        <v>Riposo</v>
      </c>
      <c r="J2" s="4">
        <v>1</v>
      </c>
      <c r="S2" s="4">
        <v>16</v>
      </c>
    </row>
    <row r="3" spans="1:19">
      <c r="A3" t="str">
        <f>+Risorse!B3</f>
        <v>Di Benedetto Deborah</v>
      </c>
      <c r="B3" s="15" t="str" cm="1">
        <f t="array" aca="1" ref="B3" ca="1">+IF(IFERROR(TEXT(INDEX(INDIRECT("Pianificazione!e1:e800"),MATCH($A3&amp;B$1,INDIRECT("Pianificazione!c1:c800")&amp;INDIRECT("Pianificazione!a1:a800"),0)),"hh:mm"),"")&amp;"-"&amp;IFERROR(TEXT(INDEX(INDIRECT("Pianificazione!f1:f800"),MATCH($A3&amp;B$1,INDIRECT("Pianificazione!c1:c800")&amp;INDIRECT("Pianificazione!a1:a800"),0)),"hh:mm"),"")="-","Riposo",IFERROR(TEXT(INDEX(INDIRECT("Pianificazione!e1:e800"),MATCH($A3&amp;B$1,INDIRECT("Pianificazione!c1:c800")&amp;INDIRECT("Pianificazione!a1:a800"),0)),"hh:mm"),"")&amp;"-"&amp;IFERROR(TEXT(INDEX(INDIRECT("Pianificazione!f1:f800"),MATCH($A3&amp;B$1,INDIRECT("Pianificazione!c1:c800")&amp;INDIRECT("Pianificazione!a1:a800"),0)),"hh:mm"),""))</f>
        <v>Riposo</v>
      </c>
      <c r="C3" s="15" t="str" cm="1">
        <f t="array" aca="1" ref="C3" ca="1">+IF(IFERROR(TEXT(INDEX(INDIRECT("Pianificazione!e1:e800"),MATCH($A3&amp;C$1,INDIRECT("Pianificazione!c1:c800")&amp;INDIRECT("Pianificazione!a1:a800"),0)),"hh:mm"),"")&amp;"-"&amp;IFERROR(TEXT(INDEX(INDIRECT("Pianificazione!f1:f800"),MATCH($A3&amp;C$1,INDIRECT("Pianificazione!c1:c800")&amp;INDIRECT("Pianificazione!a1:a800"),0)),"hh:mm"),"")="-","Riposo",IFERROR(TEXT(INDEX(INDIRECT("Pianificazione!e1:e800"),MATCH($A3&amp;C$1,INDIRECT("Pianificazione!c1:c800")&amp;INDIRECT("Pianificazione!a1:a800"),0)),"hh:mm"),"")&amp;"-"&amp;IFERROR(TEXT(INDEX(INDIRECT("Pianificazione!f1:f800"),MATCH($A3&amp;C$1,INDIRECT("Pianificazione!c1:c800")&amp;INDIRECT("Pianificazione!a1:a800"),0)),"hh:mm"),""))</f>
        <v>Riposo</v>
      </c>
      <c r="D3" s="15" t="str" cm="1">
        <f t="array" aca="1" ref="D3" ca="1">+IF(IFERROR(TEXT(INDEX(INDIRECT("Pianificazione!e1:e800"),MATCH($A3&amp;D$1,INDIRECT("Pianificazione!c1:c800")&amp;INDIRECT("Pianificazione!a1:a800"),0)),"hh:mm"),"")&amp;"-"&amp;IFERROR(TEXT(INDEX(INDIRECT("Pianificazione!f1:f800"),MATCH($A3&amp;D$1,INDIRECT("Pianificazione!c1:c800")&amp;INDIRECT("Pianificazione!a1:a800"),0)),"hh:mm"),"")="-","Riposo",IFERROR(TEXT(INDEX(INDIRECT("Pianificazione!e1:e800"),MATCH($A3&amp;D$1,INDIRECT("Pianificazione!c1:c800")&amp;INDIRECT("Pianificazione!a1:a800"),0)),"hh:mm"),"")&amp;"-"&amp;IFERROR(TEXT(INDEX(INDIRECT("Pianificazione!f1:f800"),MATCH($A3&amp;D$1,INDIRECT("Pianificazione!c1:c800")&amp;INDIRECT("Pianificazione!a1:a800"),0)),"hh:mm"),""))</f>
        <v>Riposo</v>
      </c>
      <c r="E3" s="15" t="str" cm="1">
        <f t="array" aca="1" ref="E3" ca="1">+IF(IFERROR(TEXT(INDEX(INDIRECT("Pianificazione!e1:e800"),MATCH($A3&amp;E$1,INDIRECT("Pianificazione!c1:c800")&amp;INDIRECT("Pianificazione!a1:a800"),0)),"hh:mm"),"")&amp;"-"&amp;IFERROR(TEXT(INDEX(INDIRECT("Pianificazione!f1:f800"),MATCH($A3&amp;E$1,INDIRECT("Pianificazione!c1:c800")&amp;INDIRECT("Pianificazione!a1:a800"),0)),"hh:mm"),"")="-","Riposo",IFERROR(TEXT(INDEX(INDIRECT("Pianificazione!e1:e800"),MATCH($A3&amp;E$1,INDIRECT("Pianificazione!c1:c800")&amp;INDIRECT("Pianificazione!a1:a800"),0)),"hh:mm"),"")&amp;"-"&amp;IFERROR(TEXT(INDEX(INDIRECT("Pianificazione!f1:f800"),MATCH($A3&amp;E$1,INDIRECT("Pianificazione!c1:c800")&amp;INDIRECT("Pianificazione!a1:a800"),0)),"hh:mm"),""))</f>
        <v>Riposo</v>
      </c>
      <c r="F3" s="15" t="str" cm="1">
        <f t="array" aca="1" ref="F3" ca="1">+IF(IFERROR(TEXT(INDEX(INDIRECT("Pianificazione!e1:e800"),MATCH($A3&amp;F$1,INDIRECT("Pianificazione!c1:c800")&amp;INDIRECT("Pianificazione!a1:a800"),0)),"hh:mm"),"")&amp;"-"&amp;IFERROR(TEXT(INDEX(INDIRECT("Pianificazione!f1:f800"),MATCH($A3&amp;F$1,INDIRECT("Pianificazione!c1:c800")&amp;INDIRECT("Pianificazione!a1:a800"),0)),"hh:mm"),"")="-","Riposo",IFERROR(TEXT(INDEX(INDIRECT("Pianificazione!e1:e800"),MATCH($A3&amp;F$1,INDIRECT("Pianificazione!c1:c800")&amp;INDIRECT("Pianificazione!a1:a800"),0)),"hh:mm"),"")&amp;"-"&amp;IFERROR(TEXT(INDEX(INDIRECT("Pianificazione!f1:f800"),MATCH($A3&amp;F$1,INDIRECT("Pianificazione!c1:c800")&amp;INDIRECT("Pianificazione!a1:a800"),0)),"hh:mm"),""))</f>
        <v>Riposo</v>
      </c>
      <c r="G3" s="15" t="str" cm="1">
        <f t="array" aca="1" ref="G3" ca="1">+IF(IFERROR(TEXT(INDEX(INDIRECT("Pianificazione!e1:e800"),MATCH($A3&amp;G$1,INDIRECT("Pianificazione!c1:c800")&amp;INDIRECT("Pianificazione!a1:a800"),0)),"hh:mm"),"")&amp;"-"&amp;IFERROR(TEXT(INDEX(INDIRECT("Pianificazione!f1:f800"),MATCH($A3&amp;G$1,INDIRECT("Pianificazione!c1:c800")&amp;INDIRECT("Pianificazione!a1:a800"),0)),"hh:mm"),"")="-","Riposo",IFERROR(TEXT(INDEX(INDIRECT("Pianificazione!e1:e800"),MATCH($A3&amp;G$1,INDIRECT("Pianificazione!c1:c800")&amp;INDIRECT("Pianificazione!a1:a800"),0)),"hh:mm"),"")&amp;"-"&amp;IFERROR(TEXT(INDEX(INDIRECT("Pianificazione!f1:f800"),MATCH($A3&amp;G$1,INDIRECT("Pianificazione!c1:c800")&amp;INDIRECT("Pianificazione!a1:a800"),0)),"hh:mm"),""))</f>
        <v>Riposo</v>
      </c>
      <c r="H3" s="15" t="str" cm="1">
        <f t="array" aca="1" ref="H3" ca="1">+IF(IFERROR(TEXT(INDEX(INDIRECT("Pianificazione!e1:e800"),MATCH($A3&amp;H$1,INDIRECT("Pianificazione!c1:c800")&amp;INDIRECT("Pianificazione!a1:a800"),0)),"hh:mm"),"")&amp;"-"&amp;IFERROR(TEXT(INDEX(INDIRECT("Pianificazione!f1:f800"),MATCH($A3&amp;H$1,INDIRECT("Pianificazione!c1:c800")&amp;INDIRECT("Pianificazione!a1:a800"),0)),"hh:mm"),"")="-","Riposo",IFERROR(TEXT(INDEX(INDIRECT("Pianificazione!e1:e800"),MATCH($A3&amp;H$1,INDIRECT("Pianificazione!c1:c800")&amp;INDIRECT("Pianificazione!a1:a800"),0)),"hh:mm"),"")&amp;"-"&amp;IFERROR(TEXT(INDEX(INDIRECT("Pianificazione!f1:f800"),MATCH($A3&amp;H$1,INDIRECT("Pianificazione!c1:c800")&amp;INDIRECT("Pianificazione!a1:a800"),0)),"hh:mm"),""))</f>
        <v>Riposo</v>
      </c>
      <c r="J3" s="4">
        <v>1</v>
      </c>
    </row>
    <row r="4" spans="1:19">
      <c r="A4" t="str">
        <f>+Risorse!B4</f>
        <v>Ferro Antonella</v>
      </c>
      <c r="B4" s="15" t="str" cm="1">
        <f t="array" aca="1" ref="B4" ca="1">+IF(IFERROR(TEXT(INDEX(INDIRECT("Pianificazione!e1:e800"),MATCH($A4&amp;B$1,INDIRECT("Pianificazione!c1:c800")&amp;INDIRECT("Pianificazione!a1:a800"),0)),"hh:mm"),"")&amp;"-"&amp;IFERROR(TEXT(INDEX(INDIRECT("Pianificazione!f1:f800"),MATCH($A4&amp;B$1,INDIRECT("Pianificazione!c1:c800")&amp;INDIRECT("Pianificazione!a1:a800"),0)),"hh:mm"),"")="-","Riposo",IFERROR(TEXT(INDEX(INDIRECT("Pianificazione!e1:e800"),MATCH($A4&amp;B$1,INDIRECT("Pianificazione!c1:c800")&amp;INDIRECT("Pianificazione!a1:a800"),0)),"hh:mm"),"")&amp;"-"&amp;IFERROR(TEXT(INDEX(INDIRECT("Pianificazione!f1:f800"),MATCH($A4&amp;B$1,INDIRECT("Pianificazione!c1:c800")&amp;INDIRECT("Pianificazione!a1:a800"),0)),"hh:mm"),""))</f>
        <v>Riposo</v>
      </c>
      <c r="C4" s="15" t="str" cm="1">
        <f t="array" aca="1" ref="C4" ca="1">+IF(IFERROR(TEXT(INDEX(INDIRECT("Pianificazione!e1:e800"),MATCH($A4&amp;C$1,INDIRECT("Pianificazione!c1:c800")&amp;INDIRECT("Pianificazione!a1:a800"),0)),"hh:mm"),"")&amp;"-"&amp;IFERROR(TEXT(INDEX(INDIRECT("Pianificazione!f1:f800"),MATCH($A4&amp;C$1,INDIRECT("Pianificazione!c1:c800")&amp;INDIRECT("Pianificazione!a1:a800"),0)),"hh:mm"),"")="-","Riposo",IFERROR(TEXT(INDEX(INDIRECT("Pianificazione!e1:e800"),MATCH($A4&amp;C$1,INDIRECT("Pianificazione!c1:c800")&amp;INDIRECT("Pianificazione!a1:a800"),0)),"hh:mm"),"")&amp;"-"&amp;IFERROR(TEXT(INDEX(INDIRECT("Pianificazione!f1:f800"),MATCH($A4&amp;C$1,INDIRECT("Pianificazione!c1:c800")&amp;INDIRECT("Pianificazione!a1:a800"),0)),"hh:mm"),""))</f>
        <v>Riposo</v>
      </c>
      <c r="D4" s="15" t="str" cm="1">
        <f t="array" aca="1" ref="D4" ca="1">+IF(IFERROR(TEXT(INDEX(INDIRECT("Pianificazione!e1:e800"),MATCH($A4&amp;D$1,INDIRECT("Pianificazione!c1:c800")&amp;INDIRECT("Pianificazione!a1:a800"),0)),"hh:mm"),"")&amp;"-"&amp;IFERROR(TEXT(INDEX(INDIRECT("Pianificazione!f1:f800"),MATCH($A4&amp;D$1,INDIRECT("Pianificazione!c1:c800")&amp;INDIRECT("Pianificazione!a1:a800"),0)),"hh:mm"),"")="-","Riposo",IFERROR(TEXT(INDEX(INDIRECT("Pianificazione!e1:e800"),MATCH($A4&amp;D$1,INDIRECT("Pianificazione!c1:c800")&amp;INDIRECT("Pianificazione!a1:a800"),0)),"hh:mm"),"")&amp;"-"&amp;IFERROR(TEXT(INDEX(INDIRECT("Pianificazione!f1:f800"),MATCH($A4&amp;D$1,INDIRECT("Pianificazione!c1:c800")&amp;INDIRECT("Pianificazione!a1:a800"),0)),"hh:mm"),""))</f>
        <v>Riposo</v>
      </c>
      <c r="E4" s="15" t="str" cm="1">
        <f t="array" aca="1" ref="E4" ca="1">+IF(IFERROR(TEXT(INDEX(INDIRECT("Pianificazione!e1:e800"),MATCH($A4&amp;E$1,INDIRECT("Pianificazione!c1:c800")&amp;INDIRECT("Pianificazione!a1:a800"),0)),"hh:mm"),"")&amp;"-"&amp;IFERROR(TEXT(INDEX(INDIRECT("Pianificazione!f1:f800"),MATCH($A4&amp;E$1,INDIRECT("Pianificazione!c1:c800")&amp;INDIRECT("Pianificazione!a1:a800"),0)),"hh:mm"),"")="-","Riposo",IFERROR(TEXT(INDEX(INDIRECT("Pianificazione!e1:e800"),MATCH($A4&amp;E$1,INDIRECT("Pianificazione!c1:c800")&amp;INDIRECT("Pianificazione!a1:a800"),0)),"hh:mm"),"")&amp;"-"&amp;IFERROR(TEXT(INDEX(INDIRECT("Pianificazione!f1:f800"),MATCH($A4&amp;E$1,INDIRECT("Pianificazione!c1:c800")&amp;INDIRECT("Pianificazione!a1:a800"),0)),"hh:mm"),""))</f>
        <v>Riposo</v>
      </c>
      <c r="F4" s="15" t="str" cm="1">
        <f t="array" aca="1" ref="F4" ca="1">+IF(IFERROR(TEXT(INDEX(INDIRECT("Pianificazione!e1:e800"),MATCH($A4&amp;F$1,INDIRECT("Pianificazione!c1:c800")&amp;INDIRECT("Pianificazione!a1:a800"),0)),"hh:mm"),"")&amp;"-"&amp;IFERROR(TEXT(INDEX(INDIRECT("Pianificazione!f1:f800"),MATCH($A4&amp;F$1,INDIRECT("Pianificazione!c1:c800")&amp;INDIRECT("Pianificazione!a1:a800"),0)),"hh:mm"),"")="-","Riposo",IFERROR(TEXT(INDEX(INDIRECT("Pianificazione!e1:e800"),MATCH($A4&amp;F$1,INDIRECT("Pianificazione!c1:c800")&amp;INDIRECT("Pianificazione!a1:a800"),0)),"hh:mm"),"")&amp;"-"&amp;IFERROR(TEXT(INDEX(INDIRECT("Pianificazione!f1:f800"),MATCH($A4&amp;F$1,INDIRECT("Pianificazione!c1:c800")&amp;INDIRECT("Pianificazione!a1:a800"),0)),"hh:mm"),""))</f>
        <v>Riposo</v>
      </c>
      <c r="G4" s="15" t="str" cm="1">
        <f t="array" aca="1" ref="G4" ca="1">+IF(IFERROR(TEXT(INDEX(INDIRECT("Pianificazione!e1:e800"),MATCH($A4&amp;G$1,INDIRECT("Pianificazione!c1:c800")&amp;INDIRECT("Pianificazione!a1:a800"),0)),"hh:mm"),"")&amp;"-"&amp;IFERROR(TEXT(INDEX(INDIRECT("Pianificazione!f1:f800"),MATCH($A4&amp;G$1,INDIRECT("Pianificazione!c1:c800")&amp;INDIRECT("Pianificazione!a1:a800"),0)),"hh:mm"),"")="-","Riposo",IFERROR(TEXT(INDEX(INDIRECT("Pianificazione!e1:e800"),MATCH($A4&amp;G$1,INDIRECT("Pianificazione!c1:c800")&amp;INDIRECT("Pianificazione!a1:a800"),0)),"hh:mm"),"")&amp;"-"&amp;IFERROR(TEXT(INDEX(INDIRECT("Pianificazione!f1:f800"),MATCH($A4&amp;G$1,INDIRECT("Pianificazione!c1:c800")&amp;INDIRECT("Pianificazione!a1:a800"),0)),"hh:mm"),""))</f>
        <v>Riposo</v>
      </c>
      <c r="H4" s="15" t="str" cm="1">
        <f t="array" aca="1" ref="H4" ca="1">+IF(IFERROR(TEXT(INDEX(INDIRECT("Pianificazione!e1:e800"),MATCH($A4&amp;H$1,INDIRECT("Pianificazione!c1:c800")&amp;INDIRECT("Pianificazione!a1:a800"),0)),"hh:mm"),"")&amp;"-"&amp;IFERROR(TEXT(INDEX(INDIRECT("Pianificazione!f1:f800"),MATCH($A4&amp;H$1,INDIRECT("Pianificazione!c1:c800")&amp;INDIRECT("Pianificazione!a1:a800"),0)),"hh:mm"),"")="-","Riposo",IFERROR(TEXT(INDEX(INDIRECT("Pianificazione!e1:e800"),MATCH($A4&amp;H$1,INDIRECT("Pianificazione!c1:c800")&amp;INDIRECT("Pianificazione!a1:a800"),0)),"hh:mm"),"")&amp;"-"&amp;IFERROR(TEXT(INDEX(INDIRECT("Pianificazione!f1:f800"),MATCH($A4&amp;H$1,INDIRECT("Pianificazione!c1:c800")&amp;INDIRECT("Pianificazione!a1:a800"),0)),"hh:mm"),""))</f>
        <v>Riposo</v>
      </c>
      <c r="J4" s="4">
        <v>1</v>
      </c>
    </row>
    <row r="5" spans="1:19">
      <c r="A5" t="str">
        <f>+Risorse!B5</f>
        <v>Fradella Piermarco</v>
      </c>
      <c r="B5" s="15" t="str" cm="1">
        <f t="array" aca="1" ref="B5" ca="1">+IF(IFERROR(TEXT(INDEX(INDIRECT("Pianificazione!e1:e800"),MATCH($A5&amp;B$1,INDIRECT("Pianificazione!c1:c800")&amp;INDIRECT("Pianificazione!a1:a800"),0)),"hh:mm"),"")&amp;"-"&amp;IFERROR(TEXT(INDEX(INDIRECT("Pianificazione!f1:f800"),MATCH($A5&amp;B$1,INDIRECT("Pianificazione!c1:c800")&amp;INDIRECT("Pianificazione!a1:a800"),0)),"hh:mm"),"")="-","Riposo",IFERROR(TEXT(INDEX(INDIRECT("Pianificazione!e1:e800"),MATCH($A5&amp;B$1,INDIRECT("Pianificazione!c1:c800")&amp;INDIRECT("Pianificazione!a1:a800"),0)),"hh:mm"),"")&amp;"-"&amp;IFERROR(TEXT(INDEX(INDIRECT("Pianificazione!f1:f800"),MATCH($A5&amp;B$1,INDIRECT("Pianificazione!c1:c800")&amp;INDIRECT("Pianificazione!a1:a800"),0)),"hh:mm"),""))</f>
        <v>Riposo</v>
      </c>
      <c r="C5" s="15" t="str" cm="1">
        <f t="array" aca="1" ref="C5" ca="1">+IF(IFERROR(TEXT(INDEX(INDIRECT("Pianificazione!e1:e800"),MATCH($A5&amp;C$1,INDIRECT("Pianificazione!c1:c800")&amp;INDIRECT("Pianificazione!a1:a800"),0)),"hh:mm"),"")&amp;"-"&amp;IFERROR(TEXT(INDEX(INDIRECT("Pianificazione!f1:f800"),MATCH($A5&amp;C$1,INDIRECT("Pianificazione!c1:c800")&amp;INDIRECT("Pianificazione!a1:a800"),0)),"hh:mm"),"")="-","Riposo",IFERROR(TEXT(INDEX(INDIRECT("Pianificazione!e1:e800"),MATCH($A5&amp;C$1,INDIRECT("Pianificazione!c1:c800")&amp;INDIRECT("Pianificazione!a1:a800"),0)),"hh:mm"),"")&amp;"-"&amp;IFERROR(TEXT(INDEX(INDIRECT("Pianificazione!f1:f800"),MATCH($A5&amp;C$1,INDIRECT("Pianificazione!c1:c800")&amp;INDIRECT("Pianificazione!a1:a800"),0)),"hh:mm"),""))</f>
        <v>Riposo</v>
      </c>
      <c r="D5" s="15" t="str" cm="1">
        <f t="array" aca="1" ref="D5" ca="1">+IF(IFERROR(TEXT(INDEX(INDIRECT("Pianificazione!e1:e800"),MATCH($A5&amp;D$1,INDIRECT("Pianificazione!c1:c800")&amp;INDIRECT("Pianificazione!a1:a800"),0)),"hh:mm"),"")&amp;"-"&amp;IFERROR(TEXT(INDEX(INDIRECT("Pianificazione!f1:f800"),MATCH($A5&amp;D$1,INDIRECT("Pianificazione!c1:c800")&amp;INDIRECT("Pianificazione!a1:a800"),0)),"hh:mm"),"")="-","Riposo",IFERROR(TEXT(INDEX(INDIRECT("Pianificazione!e1:e800"),MATCH($A5&amp;D$1,INDIRECT("Pianificazione!c1:c800")&amp;INDIRECT("Pianificazione!a1:a800"),0)),"hh:mm"),"")&amp;"-"&amp;IFERROR(TEXT(INDEX(INDIRECT("Pianificazione!f1:f800"),MATCH($A5&amp;D$1,INDIRECT("Pianificazione!c1:c800")&amp;INDIRECT("Pianificazione!a1:a800"),0)),"hh:mm"),""))</f>
        <v>Riposo</v>
      </c>
      <c r="E5" s="15" t="str" cm="1">
        <f t="array" aca="1" ref="E5" ca="1">+IF(IFERROR(TEXT(INDEX(INDIRECT("Pianificazione!e1:e800"),MATCH($A5&amp;E$1,INDIRECT("Pianificazione!c1:c800")&amp;INDIRECT("Pianificazione!a1:a800"),0)),"hh:mm"),"")&amp;"-"&amp;IFERROR(TEXT(INDEX(INDIRECT("Pianificazione!f1:f800"),MATCH($A5&amp;E$1,INDIRECT("Pianificazione!c1:c800")&amp;INDIRECT("Pianificazione!a1:a800"),0)),"hh:mm"),"")="-","Riposo",IFERROR(TEXT(INDEX(INDIRECT("Pianificazione!e1:e800"),MATCH($A5&amp;E$1,INDIRECT("Pianificazione!c1:c800")&amp;INDIRECT("Pianificazione!a1:a800"),0)),"hh:mm"),"")&amp;"-"&amp;IFERROR(TEXT(INDEX(INDIRECT("Pianificazione!f1:f800"),MATCH($A5&amp;E$1,INDIRECT("Pianificazione!c1:c800")&amp;INDIRECT("Pianificazione!a1:a800"),0)),"hh:mm"),""))</f>
        <v>Riposo</v>
      </c>
      <c r="F5" s="15" t="str" cm="1">
        <f t="array" aca="1" ref="F5" ca="1">+IF(IFERROR(TEXT(INDEX(INDIRECT("Pianificazione!e1:e800"),MATCH($A5&amp;F$1,INDIRECT("Pianificazione!c1:c800")&amp;INDIRECT("Pianificazione!a1:a800"),0)),"hh:mm"),"")&amp;"-"&amp;IFERROR(TEXT(INDEX(INDIRECT("Pianificazione!f1:f800"),MATCH($A5&amp;F$1,INDIRECT("Pianificazione!c1:c800")&amp;INDIRECT("Pianificazione!a1:a800"),0)),"hh:mm"),"")="-","Riposo",IFERROR(TEXT(INDEX(INDIRECT("Pianificazione!e1:e800"),MATCH($A5&amp;F$1,INDIRECT("Pianificazione!c1:c800")&amp;INDIRECT("Pianificazione!a1:a800"),0)),"hh:mm"),"")&amp;"-"&amp;IFERROR(TEXT(INDEX(INDIRECT("Pianificazione!f1:f800"),MATCH($A5&amp;F$1,INDIRECT("Pianificazione!c1:c800")&amp;INDIRECT("Pianificazione!a1:a800"),0)),"hh:mm"),""))</f>
        <v>Riposo</v>
      </c>
      <c r="G5" s="15" t="str" cm="1">
        <f t="array" aca="1" ref="G5" ca="1">+IF(IFERROR(TEXT(INDEX(INDIRECT("Pianificazione!e1:e800"),MATCH($A5&amp;G$1,INDIRECT("Pianificazione!c1:c800")&amp;INDIRECT("Pianificazione!a1:a800"),0)),"hh:mm"),"")&amp;"-"&amp;IFERROR(TEXT(INDEX(INDIRECT("Pianificazione!f1:f800"),MATCH($A5&amp;G$1,INDIRECT("Pianificazione!c1:c800")&amp;INDIRECT("Pianificazione!a1:a800"),0)),"hh:mm"),"")="-","Riposo",IFERROR(TEXT(INDEX(INDIRECT("Pianificazione!e1:e800"),MATCH($A5&amp;G$1,INDIRECT("Pianificazione!c1:c800")&amp;INDIRECT("Pianificazione!a1:a800"),0)),"hh:mm"),"")&amp;"-"&amp;IFERROR(TEXT(INDEX(INDIRECT("Pianificazione!f1:f800"),MATCH($A5&amp;G$1,INDIRECT("Pianificazione!c1:c800")&amp;INDIRECT("Pianificazione!a1:a800"),0)),"hh:mm"),""))</f>
        <v>Riposo</v>
      </c>
      <c r="H5" s="15" t="str" cm="1">
        <f t="array" aca="1" ref="H5" ca="1">+IF(IFERROR(TEXT(INDEX(INDIRECT("Pianificazione!e1:e800"),MATCH($A5&amp;H$1,INDIRECT("Pianificazione!c1:c800")&amp;INDIRECT("Pianificazione!a1:a800"),0)),"hh:mm"),"")&amp;"-"&amp;IFERROR(TEXT(INDEX(INDIRECT("Pianificazione!f1:f800"),MATCH($A5&amp;H$1,INDIRECT("Pianificazione!c1:c800")&amp;INDIRECT("Pianificazione!a1:a800"),0)),"hh:mm"),"")="-","Riposo",IFERROR(TEXT(INDEX(INDIRECT("Pianificazione!e1:e800"),MATCH($A5&amp;H$1,INDIRECT("Pianificazione!c1:c800")&amp;INDIRECT("Pianificazione!a1:a800"),0)),"hh:mm"),"")&amp;"-"&amp;IFERROR(TEXT(INDEX(INDIRECT("Pianificazione!f1:f800"),MATCH($A5&amp;H$1,INDIRECT("Pianificazione!c1:c800")&amp;INDIRECT("Pianificazione!a1:a800"),0)),"hh:mm"),""))</f>
        <v>Riposo</v>
      </c>
      <c r="J5" s="4">
        <v>1</v>
      </c>
    </row>
    <row r="6" spans="1:19">
      <c r="A6" t="str">
        <f>+Risorse!B6</f>
        <v>Lo Nardo Antonino</v>
      </c>
      <c r="B6" s="15" t="str" cm="1">
        <f t="array" aca="1" ref="B6" ca="1">+IF(IFERROR(TEXT(INDEX(INDIRECT("Pianificazione!e1:e800"),MATCH($A6&amp;B$1,INDIRECT("Pianificazione!c1:c800")&amp;INDIRECT("Pianificazione!a1:a800"),0)),"hh:mm"),"")&amp;"-"&amp;IFERROR(TEXT(INDEX(INDIRECT("Pianificazione!f1:f800"),MATCH($A6&amp;B$1,INDIRECT("Pianificazione!c1:c800")&amp;INDIRECT("Pianificazione!a1:a800"),0)),"hh:mm"),"")="-","Riposo",IFERROR(TEXT(INDEX(INDIRECT("Pianificazione!e1:e800"),MATCH($A6&amp;B$1,INDIRECT("Pianificazione!c1:c800")&amp;INDIRECT("Pianificazione!a1:a800"),0)),"hh:mm"),"")&amp;"-"&amp;IFERROR(TEXT(INDEX(INDIRECT("Pianificazione!f1:f800"),MATCH($A6&amp;B$1,INDIRECT("Pianificazione!c1:c800")&amp;INDIRECT("Pianificazione!a1:a800"),0)),"hh:mm"),""))</f>
        <v>Riposo</v>
      </c>
      <c r="C6" s="15" t="str" cm="1">
        <f t="array" aca="1" ref="C6" ca="1">+IF(IFERROR(TEXT(INDEX(INDIRECT("Pianificazione!e1:e800"),MATCH($A6&amp;C$1,INDIRECT("Pianificazione!c1:c800")&amp;INDIRECT("Pianificazione!a1:a800"),0)),"hh:mm"),"")&amp;"-"&amp;IFERROR(TEXT(INDEX(INDIRECT("Pianificazione!f1:f800"),MATCH($A6&amp;C$1,INDIRECT("Pianificazione!c1:c800")&amp;INDIRECT("Pianificazione!a1:a800"),0)),"hh:mm"),"")="-","Riposo",IFERROR(TEXT(INDEX(INDIRECT("Pianificazione!e1:e800"),MATCH($A6&amp;C$1,INDIRECT("Pianificazione!c1:c800")&amp;INDIRECT("Pianificazione!a1:a800"),0)),"hh:mm"),"")&amp;"-"&amp;IFERROR(TEXT(INDEX(INDIRECT("Pianificazione!f1:f800"),MATCH($A6&amp;C$1,INDIRECT("Pianificazione!c1:c800")&amp;INDIRECT("Pianificazione!a1:a800"),0)),"hh:mm"),""))</f>
        <v>Riposo</v>
      </c>
      <c r="D6" s="15" t="str" cm="1">
        <f t="array" aca="1" ref="D6" ca="1">+IF(IFERROR(TEXT(INDEX(INDIRECT("Pianificazione!e1:e800"),MATCH($A6&amp;D$1,INDIRECT("Pianificazione!c1:c800")&amp;INDIRECT("Pianificazione!a1:a800"),0)),"hh:mm"),"")&amp;"-"&amp;IFERROR(TEXT(INDEX(INDIRECT("Pianificazione!f1:f800"),MATCH($A6&amp;D$1,INDIRECT("Pianificazione!c1:c800")&amp;INDIRECT("Pianificazione!a1:a800"),0)),"hh:mm"),"")="-","Riposo",IFERROR(TEXT(INDEX(INDIRECT("Pianificazione!e1:e800"),MATCH($A6&amp;D$1,INDIRECT("Pianificazione!c1:c800")&amp;INDIRECT("Pianificazione!a1:a800"),0)),"hh:mm"),"")&amp;"-"&amp;IFERROR(TEXT(INDEX(INDIRECT("Pianificazione!f1:f800"),MATCH($A6&amp;D$1,INDIRECT("Pianificazione!c1:c800")&amp;INDIRECT("Pianificazione!a1:a800"),0)),"hh:mm"),""))</f>
        <v>Riposo</v>
      </c>
      <c r="E6" s="15" t="str" cm="1">
        <f t="array" aca="1" ref="E6" ca="1">+IF(IFERROR(TEXT(INDEX(INDIRECT("Pianificazione!e1:e800"),MATCH($A6&amp;E$1,INDIRECT("Pianificazione!c1:c800")&amp;INDIRECT("Pianificazione!a1:a800"),0)),"hh:mm"),"")&amp;"-"&amp;IFERROR(TEXT(INDEX(INDIRECT("Pianificazione!f1:f800"),MATCH($A6&amp;E$1,INDIRECT("Pianificazione!c1:c800")&amp;INDIRECT("Pianificazione!a1:a800"),0)),"hh:mm"),"")="-","Riposo",IFERROR(TEXT(INDEX(INDIRECT("Pianificazione!e1:e800"),MATCH($A6&amp;E$1,INDIRECT("Pianificazione!c1:c800")&amp;INDIRECT("Pianificazione!a1:a800"),0)),"hh:mm"),"")&amp;"-"&amp;IFERROR(TEXT(INDEX(INDIRECT("Pianificazione!f1:f800"),MATCH($A6&amp;E$1,INDIRECT("Pianificazione!c1:c800")&amp;INDIRECT("Pianificazione!a1:a800"),0)),"hh:mm"),""))</f>
        <v>Riposo</v>
      </c>
      <c r="F6" s="15" t="str" cm="1">
        <f t="array" aca="1" ref="F6" ca="1">+IF(IFERROR(TEXT(INDEX(INDIRECT("Pianificazione!e1:e800"),MATCH($A6&amp;F$1,INDIRECT("Pianificazione!c1:c800")&amp;INDIRECT("Pianificazione!a1:a800"),0)),"hh:mm"),"")&amp;"-"&amp;IFERROR(TEXT(INDEX(INDIRECT("Pianificazione!f1:f800"),MATCH($A6&amp;F$1,INDIRECT("Pianificazione!c1:c800")&amp;INDIRECT("Pianificazione!a1:a800"),0)),"hh:mm"),"")="-","Riposo",IFERROR(TEXT(INDEX(INDIRECT("Pianificazione!e1:e800"),MATCH($A6&amp;F$1,INDIRECT("Pianificazione!c1:c800")&amp;INDIRECT("Pianificazione!a1:a800"),0)),"hh:mm"),"")&amp;"-"&amp;IFERROR(TEXT(INDEX(INDIRECT("Pianificazione!f1:f800"),MATCH($A6&amp;F$1,INDIRECT("Pianificazione!c1:c800")&amp;INDIRECT("Pianificazione!a1:a800"),0)),"hh:mm"),""))</f>
        <v>Riposo</v>
      </c>
      <c r="G6" s="15" t="str" cm="1">
        <f t="array" aca="1" ref="G6" ca="1">+IF(IFERROR(TEXT(INDEX(INDIRECT("Pianificazione!e1:e800"),MATCH($A6&amp;G$1,INDIRECT("Pianificazione!c1:c800")&amp;INDIRECT("Pianificazione!a1:a800"),0)),"hh:mm"),"")&amp;"-"&amp;IFERROR(TEXT(INDEX(INDIRECT("Pianificazione!f1:f800"),MATCH($A6&amp;G$1,INDIRECT("Pianificazione!c1:c800")&amp;INDIRECT("Pianificazione!a1:a800"),0)),"hh:mm"),"")="-","Riposo",IFERROR(TEXT(INDEX(INDIRECT("Pianificazione!e1:e800"),MATCH($A6&amp;G$1,INDIRECT("Pianificazione!c1:c800")&amp;INDIRECT("Pianificazione!a1:a800"),0)),"hh:mm"),"")&amp;"-"&amp;IFERROR(TEXT(INDEX(INDIRECT("Pianificazione!f1:f800"),MATCH($A6&amp;G$1,INDIRECT("Pianificazione!c1:c800")&amp;INDIRECT("Pianificazione!a1:a800"),0)),"hh:mm"),""))</f>
        <v>Riposo</v>
      </c>
      <c r="H6" s="15" t="str" cm="1">
        <f t="array" aca="1" ref="H6" ca="1">+IF(IFERROR(TEXT(INDEX(INDIRECT("Pianificazione!e1:e800"),MATCH($A6&amp;H$1,INDIRECT("Pianificazione!c1:c800")&amp;INDIRECT("Pianificazione!a1:a800"),0)),"hh:mm"),"")&amp;"-"&amp;IFERROR(TEXT(INDEX(INDIRECT("Pianificazione!f1:f800"),MATCH($A6&amp;H$1,INDIRECT("Pianificazione!c1:c800")&amp;INDIRECT("Pianificazione!a1:a800"),0)),"hh:mm"),"")="-","Riposo",IFERROR(TEXT(INDEX(INDIRECT("Pianificazione!e1:e800"),MATCH($A6&amp;H$1,INDIRECT("Pianificazione!c1:c800")&amp;INDIRECT("Pianificazione!a1:a800"),0)),"hh:mm"),"")&amp;"-"&amp;IFERROR(TEXT(INDEX(INDIRECT("Pianificazione!f1:f800"),MATCH($A6&amp;H$1,INDIRECT("Pianificazione!c1:c800")&amp;INDIRECT("Pianificazione!a1:a800"),0)),"hh:mm"),""))</f>
        <v>Riposo</v>
      </c>
      <c r="J6" s="4">
        <v>1</v>
      </c>
    </row>
    <row r="7" spans="1:19">
      <c r="A7" t="str">
        <f>+Risorse!B7</f>
        <v>Mazzara Antonia</v>
      </c>
      <c r="B7" s="15" t="str" cm="1">
        <f t="array" aca="1" ref="B7" ca="1">+IF(IFERROR(TEXT(INDEX(INDIRECT("Pianificazione!e1:e800"),MATCH($A7&amp;B$1,INDIRECT("Pianificazione!c1:c800")&amp;INDIRECT("Pianificazione!a1:a800"),0)),"hh:mm"),"")&amp;"-"&amp;IFERROR(TEXT(INDEX(INDIRECT("Pianificazione!f1:f800"),MATCH($A7&amp;B$1,INDIRECT("Pianificazione!c1:c800")&amp;INDIRECT("Pianificazione!a1:a800"),0)),"hh:mm"),"")="-","Riposo",IFERROR(TEXT(INDEX(INDIRECT("Pianificazione!e1:e800"),MATCH($A7&amp;B$1,INDIRECT("Pianificazione!c1:c800")&amp;INDIRECT("Pianificazione!a1:a800"),0)),"hh:mm"),"")&amp;"-"&amp;IFERROR(TEXT(INDEX(INDIRECT("Pianificazione!f1:f800"),MATCH($A7&amp;B$1,INDIRECT("Pianificazione!c1:c800")&amp;INDIRECT("Pianificazione!a1:a800"),0)),"hh:mm"),""))</f>
        <v>Riposo</v>
      </c>
      <c r="C7" s="15" t="str" cm="1">
        <f t="array" aca="1" ref="C7" ca="1">+IF(IFERROR(TEXT(INDEX(INDIRECT("Pianificazione!e1:e800"),MATCH($A7&amp;C$1,INDIRECT("Pianificazione!c1:c800")&amp;INDIRECT("Pianificazione!a1:a800"),0)),"hh:mm"),"")&amp;"-"&amp;IFERROR(TEXT(INDEX(INDIRECT("Pianificazione!f1:f800"),MATCH($A7&amp;C$1,INDIRECT("Pianificazione!c1:c800")&amp;INDIRECT("Pianificazione!a1:a800"),0)),"hh:mm"),"")="-","Riposo",IFERROR(TEXT(INDEX(INDIRECT("Pianificazione!e1:e800"),MATCH($A7&amp;C$1,INDIRECT("Pianificazione!c1:c800")&amp;INDIRECT("Pianificazione!a1:a800"),0)),"hh:mm"),"")&amp;"-"&amp;IFERROR(TEXT(INDEX(INDIRECT("Pianificazione!f1:f800"),MATCH($A7&amp;C$1,INDIRECT("Pianificazione!c1:c800")&amp;INDIRECT("Pianificazione!a1:a800"),0)),"hh:mm"),""))</f>
        <v>Riposo</v>
      </c>
      <c r="D7" s="15" t="str" cm="1">
        <f t="array" aca="1" ref="D7" ca="1">+IF(IFERROR(TEXT(INDEX(INDIRECT("Pianificazione!e1:e800"),MATCH($A7&amp;D$1,INDIRECT("Pianificazione!c1:c800")&amp;INDIRECT("Pianificazione!a1:a800"),0)),"hh:mm"),"")&amp;"-"&amp;IFERROR(TEXT(INDEX(INDIRECT("Pianificazione!f1:f800"),MATCH($A7&amp;D$1,INDIRECT("Pianificazione!c1:c800")&amp;INDIRECT("Pianificazione!a1:a800"),0)),"hh:mm"),"")="-","Riposo",IFERROR(TEXT(INDEX(INDIRECT("Pianificazione!e1:e800"),MATCH($A7&amp;D$1,INDIRECT("Pianificazione!c1:c800")&amp;INDIRECT("Pianificazione!a1:a800"),0)),"hh:mm"),"")&amp;"-"&amp;IFERROR(TEXT(INDEX(INDIRECT("Pianificazione!f1:f800"),MATCH($A7&amp;D$1,INDIRECT("Pianificazione!c1:c800")&amp;INDIRECT("Pianificazione!a1:a800"),0)),"hh:mm"),""))</f>
        <v>Riposo</v>
      </c>
      <c r="E7" s="15" t="str" cm="1">
        <f t="array" aca="1" ref="E7" ca="1">+IF(IFERROR(TEXT(INDEX(INDIRECT("Pianificazione!e1:e800"),MATCH($A7&amp;E$1,INDIRECT("Pianificazione!c1:c800")&amp;INDIRECT("Pianificazione!a1:a800"),0)),"hh:mm"),"")&amp;"-"&amp;IFERROR(TEXT(INDEX(INDIRECT("Pianificazione!f1:f800"),MATCH($A7&amp;E$1,INDIRECT("Pianificazione!c1:c800")&amp;INDIRECT("Pianificazione!a1:a800"),0)),"hh:mm"),"")="-","Riposo",IFERROR(TEXT(INDEX(INDIRECT("Pianificazione!e1:e800"),MATCH($A7&amp;E$1,INDIRECT("Pianificazione!c1:c800")&amp;INDIRECT("Pianificazione!a1:a800"),0)),"hh:mm"),"")&amp;"-"&amp;IFERROR(TEXT(INDEX(INDIRECT("Pianificazione!f1:f800"),MATCH($A7&amp;E$1,INDIRECT("Pianificazione!c1:c800")&amp;INDIRECT("Pianificazione!a1:a800"),0)),"hh:mm"),""))</f>
        <v>Riposo</v>
      </c>
      <c r="F7" s="15" t="str" cm="1">
        <f t="array" aca="1" ref="F7" ca="1">+IF(IFERROR(TEXT(INDEX(INDIRECT("Pianificazione!e1:e800"),MATCH($A7&amp;F$1,INDIRECT("Pianificazione!c1:c800")&amp;INDIRECT("Pianificazione!a1:a800"),0)),"hh:mm"),"")&amp;"-"&amp;IFERROR(TEXT(INDEX(INDIRECT("Pianificazione!f1:f800"),MATCH($A7&amp;F$1,INDIRECT("Pianificazione!c1:c800")&amp;INDIRECT("Pianificazione!a1:a800"),0)),"hh:mm"),"")="-","Riposo",IFERROR(TEXT(INDEX(INDIRECT("Pianificazione!e1:e800"),MATCH($A7&amp;F$1,INDIRECT("Pianificazione!c1:c800")&amp;INDIRECT("Pianificazione!a1:a800"),0)),"hh:mm"),"")&amp;"-"&amp;IFERROR(TEXT(INDEX(INDIRECT("Pianificazione!f1:f800"),MATCH($A7&amp;F$1,INDIRECT("Pianificazione!c1:c800")&amp;INDIRECT("Pianificazione!a1:a800"),0)),"hh:mm"),""))</f>
        <v>Riposo</v>
      </c>
      <c r="G7" s="15" t="str" cm="1">
        <f t="array" aca="1" ref="G7" ca="1">+IF(IFERROR(TEXT(INDEX(INDIRECT("Pianificazione!e1:e800"),MATCH($A7&amp;G$1,INDIRECT("Pianificazione!c1:c800")&amp;INDIRECT("Pianificazione!a1:a800"),0)),"hh:mm"),"")&amp;"-"&amp;IFERROR(TEXT(INDEX(INDIRECT("Pianificazione!f1:f800"),MATCH($A7&amp;G$1,INDIRECT("Pianificazione!c1:c800")&amp;INDIRECT("Pianificazione!a1:a800"),0)),"hh:mm"),"")="-","Riposo",IFERROR(TEXT(INDEX(INDIRECT("Pianificazione!e1:e800"),MATCH($A7&amp;G$1,INDIRECT("Pianificazione!c1:c800")&amp;INDIRECT("Pianificazione!a1:a800"),0)),"hh:mm"),"")&amp;"-"&amp;IFERROR(TEXT(INDEX(INDIRECT("Pianificazione!f1:f800"),MATCH($A7&amp;G$1,INDIRECT("Pianificazione!c1:c800")&amp;INDIRECT("Pianificazione!a1:a800"),0)),"hh:mm"),""))</f>
        <v>Riposo</v>
      </c>
      <c r="H7" s="15" t="str" cm="1">
        <f t="array" aca="1" ref="H7" ca="1">+IF(IFERROR(TEXT(INDEX(INDIRECT("Pianificazione!e1:e800"),MATCH($A7&amp;H$1,INDIRECT("Pianificazione!c1:c800")&amp;INDIRECT("Pianificazione!a1:a800"),0)),"hh:mm"),"")&amp;"-"&amp;IFERROR(TEXT(INDEX(INDIRECT("Pianificazione!f1:f800"),MATCH($A7&amp;H$1,INDIRECT("Pianificazione!c1:c800")&amp;INDIRECT("Pianificazione!a1:a800"),0)),"hh:mm"),"")="-","Riposo",IFERROR(TEXT(INDEX(INDIRECT("Pianificazione!e1:e800"),MATCH($A7&amp;H$1,INDIRECT("Pianificazione!c1:c800")&amp;INDIRECT("Pianificazione!a1:a800"),0)),"hh:mm"),"")&amp;"-"&amp;IFERROR(TEXT(INDEX(INDIRECT("Pianificazione!f1:f800"),MATCH($A7&amp;H$1,INDIRECT("Pianificazione!c1:c800")&amp;INDIRECT("Pianificazione!a1:a800"),0)),"hh:mm"),""))</f>
        <v>Riposo</v>
      </c>
      <c r="J7" s="4">
        <v>1</v>
      </c>
    </row>
    <row r="8" spans="1:19">
      <c r="A8" t="str">
        <f>+Risorse!B8</f>
        <v>Amato Stefania</v>
      </c>
      <c r="B8" s="15" t="str" cm="1">
        <f t="array" aca="1" ref="B8" ca="1">+IF(IFERROR(TEXT(INDEX(INDIRECT("Pianificazione!e1:e800"),MATCH($A8&amp;B$1,INDIRECT("Pianificazione!c1:c800")&amp;INDIRECT("Pianificazione!a1:a800"),0)),"hh:mm"),"")&amp;"-"&amp;IFERROR(TEXT(INDEX(INDIRECT("Pianificazione!f1:f800"),MATCH($A8&amp;B$1,INDIRECT("Pianificazione!c1:c800")&amp;INDIRECT("Pianificazione!a1:a800"),0)),"hh:mm"),"")="-","Riposo",IFERROR(TEXT(INDEX(INDIRECT("Pianificazione!e1:e800"),MATCH($A8&amp;B$1,INDIRECT("Pianificazione!c1:c800")&amp;INDIRECT("Pianificazione!a1:a800"),0)),"hh:mm"),"")&amp;"-"&amp;IFERROR(TEXT(INDEX(INDIRECT("Pianificazione!f1:f800"),MATCH($A8&amp;B$1,INDIRECT("Pianificazione!c1:c800")&amp;INDIRECT("Pianificazione!a1:a800"),0)),"hh:mm"),""))</f>
        <v>Riposo</v>
      </c>
      <c r="C8" s="15" t="str" cm="1">
        <f t="array" aca="1" ref="C8" ca="1">+IF(IFERROR(TEXT(INDEX(INDIRECT("Pianificazione!e1:e800"),MATCH($A8&amp;C$1,INDIRECT("Pianificazione!c1:c800")&amp;INDIRECT("Pianificazione!a1:a800"),0)),"hh:mm"),"")&amp;"-"&amp;IFERROR(TEXT(INDEX(INDIRECT("Pianificazione!f1:f800"),MATCH($A8&amp;C$1,INDIRECT("Pianificazione!c1:c800")&amp;INDIRECT("Pianificazione!a1:a800"),0)),"hh:mm"),"")="-","Riposo",IFERROR(TEXT(INDEX(INDIRECT("Pianificazione!e1:e800"),MATCH($A8&amp;C$1,INDIRECT("Pianificazione!c1:c800")&amp;INDIRECT("Pianificazione!a1:a800"),0)),"hh:mm"),"")&amp;"-"&amp;IFERROR(TEXT(INDEX(INDIRECT("Pianificazione!f1:f800"),MATCH($A8&amp;C$1,INDIRECT("Pianificazione!c1:c800")&amp;INDIRECT("Pianificazione!a1:a800"),0)),"hh:mm"),""))</f>
        <v>Riposo</v>
      </c>
      <c r="D8" s="15" t="str" cm="1">
        <f t="array" aca="1" ref="D8" ca="1">+IF(IFERROR(TEXT(INDEX(INDIRECT("Pianificazione!e1:e800"),MATCH($A8&amp;D$1,INDIRECT("Pianificazione!c1:c800")&amp;INDIRECT("Pianificazione!a1:a800"),0)),"hh:mm"),"")&amp;"-"&amp;IFERROR(TEXT(INDEX(INDIRECT("Pianificazione!f1:f800"),MATCH($A8&amp;D$1,INDIRECT("Pianificazione!c1:c800")&amp;INDIRECT("Pianificazione!a1:a800"),0)),"hh:mm"),"")="-","Riposo",IFERROR(TEXT(INDEX(INDIRECT("Pianificazione!e1:e800"),MATCH($A8&amp;D$1,INDIRECT("Pianificazione!c1:c800")&amp;INDIRECT("Pianificazione!a1:a800"),0)),"hh:mm"),"")&amp;"-"&amp;IFERROR(TEXT(INDEX(INDIRECT("Pianificazione!f1:f800"),MATCH($A8&amp;D$1,INDIRECT("Pianificazione!c1:c800")&amp;INDIRECT("Pianificazione!a1:a800"),0)),"hh:mm"),""))</f>
        <v>Riposo</v>
      </c>
      <c r="E8" s="15" t="str" cm="1">
        <f t="array" aca="1" ref="E8" ca="1">+IF(IFERROR(TEXT(INDEX(INDIRECT("Pianificazione!e1:e800"),MATCH($A8&amp;E$1,INDIRECT("Pianificazione!c1:c800")&amp;INDIRECT("Pianificazione!a1:a800"),0)),"hh:mm"),"")&amp;"-"&amp;IFERROR(TEXT(INDEX(INDIRECT("Pianificazione!f1:f800"),MATCH($A8&amp;E$1,INDIRECT("Pianificazione!c1:c800")&amp;INDIRECT("Pianificazione!a1:a800"),0)),"hh:mm"),"")="-","Riposo",IFERROR(TEXT(INDEX(INDIRECT("Pianificazione!e1:e800"),MATCH($A8&amp;E$1,INDIRECT("Pianificazione!c1:c800")&amp;INDIRECT("Pianificazione!a1:a800"),0)),"hh:mm"),"")&amp;"-"&amp;IFERROR(TEXT(INDEX(INDIRECT("Pianificazione!f1:f800"),MATCH($A8&amp;E$1,INDIRECT("Pianificazione!c1:c800")&amp;INDIRECT("Pianificazione!a1:a800"),0)),"hh:mm"),""))</f>
        <v>Riposo</v>
      </c>
      <c r="F8" s="15" t="str" cm="1">
        <f t="array" aca="1" ref="F8" ca="1">+IF(IFERROR(TEXT(INDEX(INDIRECT("Pianificazione!e1:e800"),MATCH($A8&amp;F$1,INDIRECT("Pianificazione!c1:c800")&amp;INDIRECT("Pianificazione!a1:a800"),0)),"hh:mm"),"")&amp;"-"&amp;IFERROR(TEXT(INDEX(INDIRECT("Pianificazione!f1:f800"),MATCH($A8&amp;F$1,INDIRECT("Pianificazione!c1:c800")&amp;INDIRECT("Pianificazione!a1:a800"),0)),"hh:mm"),"")="-","Riposo",IFERROR(TEXT(INDEX(INDIRECT("Pianificazione!e1:e800"),MATCH($A8&amp;F$1,INDIRECT("Pianificazione!c1:c800")&amp;INDIRECT("Pianificazione!a1:a800"),0)),"hh:mm"),"")&amp;"-"&amp;IFERROR(TEXT(INDEX(INDIRECT("Pianificazione!f1:f800"),MATCH($A8&amp;F$1,INDIRECT("Pianificazione!c1:c800")&amp;INDIRECT("Pianificazione!a1:a800"),0)),"hh:mm"),""))</f>
        <v>Riposo</v>
      </c>
      <c r="G8" s="15" t="str" cm="1">
        <f t="array" aca="1" ref="G8" ca="1">+IF(IFERROR(TEXT(INDEX(INDIRECT("Pianificazione!e1:e800"),MATCH($A8&amp;G$1,INDIRECT("Pianificazione!c1:c800")&amp;INDIRECT("Pianificazione!a1:a800"),0)),"hh:mm"),"")&amp;"-"&amp;IFERROR(TEXT(INDEX(INDIRECT("Pianificazione!f1:f800"),MATCH($A8&amp;G$1,INDIRECT("Pianificazione!c1:c800")&amp;INDIRECT("Pianificazione!a1:a800"),0)),"hh:mm"),"")="-","Riposo",IFERROR(TEXT(INDEX(INDIRECT("Pianificazione!e1:e800"),MATCH($A8&amp;G$1,INDIRECT("Pianificazione!c1:c800")&amp;INDIRECT("Pianificazione!a1:a800"),0)),"hh:mm"),"")&amp;"-"&amp;IFERROR(TEXT(INDEX(INDIRECT("Pianificazione!f1:f800"),MATCH($A8&amp;G$1,INDIRECT("Pianificazione!c1:c800")&amp;INDIRECT("Pianificazione!a1:a800"),0)),"hh:mm"),""))</f>
        <v>Riposo</v>
      </c>
      <c r="H8" s="15" t="str" cm="1">
        <f t="array" aca="1" ref="H8" ca="1">+IF(IFERROR(TEXT(INDEX(INDIRECT("Pianificazione!e1:e800"),MATCH($A8&amp;H$1,INDIRECT("Pianificazione!c1:c800")&amp;INDIRECT("Pianificazione!a1:a800"),0)),"hh:mm"),"")&amp;"-"&amp;IFERROR(TEXT(INDEX(INDIRECT("Pianificazione!f1:f800"),MATCH($A8&amp;H$1,INDIRECT("Pianificazione!c1:c800")&amp;INDIRECT("Pianificazione!a1:a800"),0)),"hh:mm"),"")="-","Riposo",IFERROR(TEXT(INDEX(INDIRECT("Pianificazione!e1:e800"),MATCH($A8&amp;H$1,INDIRECT("Pianificazione!c1:c800")&amp;INDIRECT("Pianificazione!a1:a800"),0)),"hh:mm"),"")&amp;"-"&amp;IFERROR(TEXT(INDEX(INDIRECT("Pianificazione!f1:f800"),MATCH($A8&amp;H$1,INDIRECT("Pianificazione!c1:c800")&amp;INDIRECT("Pianificazione!a1:a800"),0)),"hh:mm"),""))</f>
        <v>Riposo</v>
      </c>
      <c r="J8" s="4">
        <v>1</v>
      </c>
    </row>
    <row r="9" spans="1:19">
      <c r="A9" t="str">
        <f>+Risorse!B9</f>
        <v>Anastasi Giuseppe</v>
      </c>
      <c r="B9" s="15" t="str" cm="1">
        <f t="array" aca="1" ref="B9" ca="1">+IF(IFERROR(TEXT(INDEX(INDIRECT("Pianificazione!e1:e800"),MATCH($A9&amp;B$1,INDIRECT("Pianificazione!c1:c800")&amp;INDIRECT("Pianificazione!a1:a800"),0)),"hh:mm"),"")&amp;"-"&amp;IFERROR(TEXT(INDEX(INDIRECT("Pianificazione!f1:f800"),MATCH($A9&amp;B$1,INDIRECT("Pianificazione!c1:c800")&amp;INDIRECT("Pianificazione!a1:a800"),0)),"hh:mm"),"")="-","Riposo",IFERROR(TEXT(INDEX(INDIRECT("Pianificazione!e1:e800"),MATCH($A9&amp;B$1,INDIRECT("Pianificazione!c1:c800")&amp;INDIRECT("Pianificazione!a1:a800"),0)),"hh:mm"),"")&amp;"-"&amp;IFERROR(TEXT(INDEX(INDIRECT("Pianificazione!f1:f800"),MATCH($A9&amp;B$1,INDIRECT("Pianificazione!c1:c800")&amp;INDIRECT("Pianificazione!a1:a800"),0)),"hh:mm"),""))</f>
        <v>Riposo</v>
      </c>
      <c r="C9" s="15" t="str" cm="1">
        <f t="array" aca="1" ref="C9" ca="1">+IF(IFERROR(TEXT(INDEX(INDIRECT("Pianificazione!e1:e800"),MATCH($A9&amp;C$1,INDIRECT("Pianificazione!c1:c800")&amp;INDIRECT("Pianificazione!a1:a800"),0)),"hh:mm"),"")&amp;"-"&amp;IFERROR(TEXT(INDEX(INDIRECT("Pianificazione!f1:f800"),MATCH($A9&amp;C$1,INDIRECT("Pianificazione!c1:c800")&amp;INDIRECT("Pianificazione!a1:a800"),0)),"hh:mm"),"")="-","Riposo",IFERROR(TEXT(INDEX(INDIRECT("Pianificazione!e1:e800"),MATCH($A9&amp;C$1,INDIRECT("Pianificazione!c1:c800")&amp;INDIRECT("Pianificazione!a1:a800"),0)),"hh:mm"),"")&amp;"-"&amp;IFERROR(TEXT(INDEX(INDIRECT("Pianificazione!f1:f800"),MATCH($A9&amp;C$1,INDIRECT("Pianificazione!c1:c800")&amp;INDIRECT("Pianificazione!a1:a800"),0)),"hh:mm"),""))</f>
        <v>Riposo</v>
      </c>
      <c r="D9" s="15" t="str" cm="1">
        <f t="array" aca="1" ref="D9" ca="1">+IF(IFERROR(TEXT(INDEX(INDIRECT("Pianificazione!e1:e800"),MATCH($A9&amp;D$1,INDIRECT("Pianificazione!c1:c800")&amp;INDIRECT("Pianificazione!a1:a800"),0)),"hh:mm"),"")&amp;"-"&amp;IFERROR(TEXT(INDEX(INDIRECT("Pianificazione!f1:f800"),MATCH($A9&amp;D$1,INDIRECT("Pianificazione!c1:c800")&amp;INDIRECT("Pianificazione!a1:a800"),0)),"hh:mm"),"")="-","Riposo",IFERROR(TEXT(INDEX(INDIRECT("Pianificazione!e1:e800"),MATCH($A9&amp;D$1,INDIRECT("Pianificazione!c1:c800")&amp;INDIRECT("Pianificazione!a1:a800"),0)),"hh:mm"),"")&amp;"-"&amp;IFERROR(TEXT(INDEX(INDIRECT("Pianificazione!f1:f800"),MATCH($A9&amp;D$1,INDIRECT("Pianificazione!c1:c800")&amp;INDIRECT("Pianificazione!a1:a800"),0)),"hh:mm"),""))</f>
        <v>Riposo</v>
      </c>
      <c r="E9" s="15" t="str" cm="1">
        <f t="array" aca="1" ref="E9" ca="1">+IF(IFERROR(TEXT(INDEX(INDIRECT("Pianificazione!e1:e800"),MATCH($A9&amp;E$1,INDIRECT("Pianificazione!c1:c800")&amp;INDIRECT("Pianificazione!a1:a800"),0)),"hh:mm"),"")&amp;"-"&amp;IFERROR(TEXT(INDEX(INDIRECT("Pianificazione!f1:f800"),MATCH($A9&amp;E$1,INDIRECT("Pianificazione!c1:c800")&amp;INDIRECT("Pianificazione!a1:a800"),0)),"hh:mm"),"")="-","Riposo",IFERROR(TEXT(INDEX(INDIRECT("Pianificazione!e1:e800"),MATCH($A9&amp;E$1,INDIRECT("Pianificazione!c1:c800")&amp;INDIRECT("Pianificazione!a1:a800"),0)),"hh:mm"),"")&amp;"-"&amp;IFERROR(TEXT(INDEX(INDIRECT("Pianificazione!f1:f800"),MATCH($A9&amp;E$1,INDIRECT("Pianificazione!c1:c800")&amp;INDIRECT("Pianificazione!a1:a800"),0)),"hh:mm"),""))</f>
        <v>Riposo</v>
      </c>
      <c r="F9" s="15" t="str" cm="1">
        <f t="array" aca="1" ref="F9" ca="1">+IF(IFERROR(TEXT(INDEX(INDIRECT("Pianificazione!e1:e800"),MATCH($A9&amp;F$1,INDIRECT("Pianificazione!c1:c800")&amp;INDIRECT("Pianificazione!a1:a800"),0)),"hh:mm"),"")&amp;"-"&amp;IFERROR(TEXT(INDEX(INDIRECT("Pianificazione!f1:f800"),MATCH($A9&amp;F$1,INDIRECT("Pianificazione!c1:c800")&amp;INDIRECT("Pianificazione!a1:a800"),0)),"hh:mm"),"")="-","Riposo",IFERROR(TEXT(INDEX(INDIRECT("Pianificazione!e1:e800"),MATCH($A9&amp;F$1,INDIRECT("Pianificazione!c1:c800")&amp;INDIRECT("Pianificazione!a1:a800"),0)),"hh:mm"),"")&amp;"-"&amp;IFERROR(TEXT(INDEX(INDIRECT("Pianificazione!f1:f800"),MATCH($A9&amp;F$1,INDIRECT("Pianificazione!c1:c800")&amp;INDIRECT("Pianificazione!a1:a800"),0)),"hh:mm"),""))</f>
        <v>Riposo</v>
      </c>
      <c r="G9" s="15" t="str" cm="1">
        <f t="array" aca="1" ref="G9" ca="1">+IF(IFERROR(TEXT(INDEX(INDIRECT("Pianificazione!e1:e800"),MATCH($A9&amp;G$1,INDIRECT("Pianificazione!c1:c800")&amp;INDIRECT("Pianificazione!a1:a800"),0)),"hh:mm"),"")&amp;"-"&amp;IFERROR(TEXT(INDEX(INDIRECT("Pianificazione!f1:f800"),MATCH($A9&amp;G$1,INDIRECT("Pianificazione!c1:c800")&amp;INDIRECT("Pianificazione!a1:a800"),0)),"hh:mm"),"")="-","Riposo",IFERROR(TEXT(INDEX(INDIRECT("Pianificazione!e1:e800"),MATCH($A9&amp;G$1,INDIRECT("Pianificazione!c1:c800")&amp;INDIRECT("Pianificazione!a1:a800"),0)),"hh:mm"),"")&amp;"-"&amp;IFERROR(TEXT(INDEX(INDIRECT("Pianificazione!f1:f800"),MATCH($A9&amp;G$1,INDIRECT("Pianificazione!c1:c800")&amp;INDIRECT("Pianificazione!a1:a800"),0)),"hh:mm"),""))</f>
        <v>Riposo</v>
      </c>
      <c r="H9" s="15" t="str" cm="1">
        <f t="array" aca="1" ref="H9" ca="1">+IF(IFERROR(TEXT(INDEX(INDIRECT("Pianificazione!e1:e800"),MATCH($A9&amp;H$1,INDIRECT("Pianificazione!c1:c800")&amp;INDIRECT("Pianificazione!a1:a800"),0)),"hh:mm"),"")&amp;"-"&amp;IFERROR(TEXT(INDEX(INDIRECT("Pianificazione!f1:f800"),MATCH($A9&amp;H$1,INDIRECT("Pianificazione!c1:c800")&amp;INDIRECT("Pianificazione!a1:a800"),0)),"hh:mm"),"")="-","Riposo",IFERROR(TEXT(INDEX(INDIRECT("Pianificazione!e1:e800"),MATCH($A9&amp;H$1,INDIRECT("Pianificazione!c1:c800")&amp;INDIRECT("Pianificazione!a1:a800"),0)),"hh:mm"),"")&amp;"-"&amp;IFERROR(TEXT(INDEX(INDIRECT("Pianificazione!f1:f800"),MATCH($A9&amp;H$1,INDIRECT("Pianificazione!c1:c800")&amp;INDIRECT("Pianificazione!a1:a800"),0)),"hh:mm"),""))</f>
        <v>Riposo</v>
      </c>
      <c r="J9" s="4">
        <v>1</v>
      </c>
    </row>
    <row r="10" spans="1:19">
      <c r="A10" t="str">
        <f>+Risorse!B10</f>
        <v>Anello Donatella</v>
      </c>
      <c r="B10" s="15" t="str" cm="1">
        <f t="array" aca="1" ref="B10" ca="1">+IF(IFERROR(TEXT(INDEX(INDIRECT("Pianificazione!e1:e800"),MATCH($A10&amp;B$1,INDIRECT("Pianificazione!c1:c800")&amp;INDIRECT("Pianificazione!a1:a800"),0)),"hh:mm"),"")&amp;"-"&amp;IFERROR(TEXT(INDEX(INDIRECT("Pianificazione!f1:f800"),MATCH($A10&amp;B$1,INDIRECT("Pianificazione!c1:c800")&amp;INDIRECT("Pianificazione!a1:a800"),0)),"hh:mm"),"")="-","Riposo",IFERROR(TEXT(INDEX(INDIRECT("Pianificazione!e1:e800"),MATCH($A10&amp;B$1,INDIRECT("Pianificazione!c1:c800")&amp;INDIRECT("Pianificazione!a1:a800"),0)),"hh:mm"),"")&amp;"-"&amp;IFERROR(TEXT(INDEX(INDIRECT("Pianificazione!f1:f800"),MATCH($A10&amp;B$1,INDIRECT("Pianificazione!c1:c800")&amp;INDIRECT("Pianificazione!a1:a800"),0)),"hh:mm"),""))</f>
        <v>Riposo</v>
      </c>
      <c r="C10" s="15" t="str" cm="1">
        <f t="array" aca="1" ref="C10" ca="1">+IF(IFERROR(TEXT(INDEX(INDIRECT("Pianificazione!e1:e800"),MATCH($A10&amp;C$1,INDIRECT("Pianificazione!c1:c800")&amp;INDIRECT("Pianificazione!a1:a800"),0)),"hh:mm"),"")&amp;"-"&amp;IFERROR(TEXT(INDEX(INDIRECT("Pianificazione!f1:f800"),MATCH($A10&amp;C$1,INDIRECT("Pianificazione!c1:c800")&amp;INDIRECT("Pianificazione!a1:a800"),0)),"hh:mm"),"")="-","Riposo",IFERROR(TEXT(INDEX(INDIRECT("Pianificazione!e1:e800"),MATCH($A10&amp;C$1,INDIRECT("Pianificazione!c1:c800")&amp;INDIRECT("Pianificazione!a1:a800"),0)),"hh:mm"),"")&amp;"-"&amp;IFERROR(TEXT(INDEX(INDIRECT("Pianificazione!f1:f800"),MATCH($A10&amp;C$1,INDIRECT("Pianificazione!c1:c800")&amp;INDIRECT("Pianificazione!a1:a800"),0)),"hh:mm"),""))</f>
        <v>Riposo</v>
      </c>
      <c r="D10" s="15" t="str" cm="1">
        <f t="array" aca="1" ref="D10" ca="1">+IF(IFERROR(TEXT(INDEX(INDIRECT("Pianificazione!e1:e800"),MATCH($A10&amp;D$1,INDIRECT("Pianificazione!c1:c800")&amp;INDIRECT("Pianificazione!a1:a800"),0)),"hh:mm"),"")&amp;"-"&amp;IFERROR(TEXT(INDEX(INDIRECT("Pianificazione!f1:f800"),MATCH($A10&amp;D$1,INDIRECT("Pianificazione!c1:c800")&amp;INDIRECT("Pianificazione!a1:a800"),0)),"hh:mm"),"")="-","Riposo",IFERROR(TEXT(INDEX(INDIRECT("Pianificazione!e1:e800"),MATCH($A10&amp;D$1,INDIRECT("Pianificazione!c1:c800")&amp;INDIRECT("Pianificazione!a1:a800"),0)),"hh:mm"),"")&amp;"-"&amp;IFERROR(TEXT(INDEX(INDIRECT("Pianificazione!f1:f800"),MATCH($A10&amp;D$1,INDIRECT("Pianificazione!c1:c800")&amp;INDIRECT("Pianificazione!a1:a800"),0)),"hh:mm"),""))</f>
        <v>Riposo</v>
      </c>
      <c r="E10" s="15" t="str" cm="1">
        <f t="array" aca="1" ref="E10" ca="1">+IF(IFERROR(TEXT(INDEX(INDIRECT("Pianificazione!e1:e800"),MATCH($A10&amp;E$1,INDIRECT("Pianificazione!c1:c800")&amp;INDIRECT("Pianificazione!a1:a800"),0)),"hh:mm"),"")&amp;"-"&amp;IFERROR(TEXT(INDEX(INDIRECT("Pianificazione!f1:f800"),MATCH($A10&amp;E$1,INDIRECT("Pianificazione!c1:c800")&amp;INDIRECT("Pianificazione!a1:a800"),0)),"hh:mm"),"")="-","Riposo",IFERROR(TEXT(INDEX(INDIRECT("Pianificazione!e1:e800"),MATCH($A10&amp;E$1,INDIRECT("Pianificazione!c1:c800")&amp;INDIRECT("Pianificazione!a1:a800"),0)),"hh:mm"),"")&amp;"-"&amp;IFERROR(TEXT(INDEX(INDIRECT("Pianificazione!f1:f800"),MATCH($A10&amp;E$1,INDIRECT("Pianificazione!c1:c800")&amp;INDIRECT("Pianificazione!a1:a800"),0)),"hh:mm"),""))</f>
        <v>Riposo</v>
      </c>
      <c r="F10" s="15" t="str" cm="1">
        <f t="array" aca="1" ref="F10" ca="1">+IF(IFERROR(TEXT(INDEX(INDIRECT("Pianificazione!e1:e800"),MATCH($A10&amp;F$1,INDIRECT("Pianificazione!c1:c800")&amp;INDIRECT("Pianificazione!a1:a800"),0)),"hh:mm"),"")&amp;"-"&amp;IFERROR(TEXT(INDEX(INDIRECT("Pianificazione!f1:f800"),MATCH($A10&amp;F$1,INDIRECT("Pianificazione!c1:c800")&amp;INDIRECT("Pianificazione!a1:a800"),0)),"hh:mm"),"")="-","Riposo",IFERROR(TEXT(INDEX(INDIRECT("Pianificazione!e1:e800"),MATCH($A10&amp;F$1,INDIRECT("Pianificazione!c1:c800")&amp;INDIRECT("Pianificazione!a1:a800"),0)),"hh:mm"),"")&amp;"-"&amp;IFERROR(TEXT(INDEX(INDIRECT("Pianificazione!f1:f800"),MATCH($A10&amp;F$1,INDIRECT("Pianificazione!c1:c800")&amp;INDIRECT("Pianificazione!a1:a800"),0)),"hh:mm"),""))</f>
        <v>Riposo</v>
      </c>
      <c r="G10" s="15" t="str" cm="1">
        <f t="array" aca="1" ref="G10" ca="1">+IF(IFERROR(TEXT(INDEX(INDIRECT("Pianificazione!e1:e800"),MATCH($A10&amp;G$1,INDIRECT("Pianificazione!c1:c800")&amp;INDIRECT("Pianificazione!a1:a800"),0)),"hh:mm"),"")&amp;"-"&amp;IFERROR(TEXT(INDEX(INDIRECT("Pianificazione!f1:f800"),MATCH($A10&amp;G$1,INDIRECT("Pianificazione!c1:c800")&amp;INDIRECT("Pianificazione!a1:a800"),0)),"hh:mm"),"")="-","Riposo",IFERROR(TEXT(INDEX(INDIRECT("Pianificazione!e1:e800"),MATCH($A10&amp;G$1,INDIRECT("Pianificazione!c1:c800")&amp;INDIRECT("Pianificazione!a1:a800"),0)),"hh:mm"),"")&amp;"-"&amp;IFERROR(TEXT(INDEX(INDIRECT("Pianificazione!f1:f800"),MATCH($A10&amp;G$1,INDIRECT("Pianificazione!c1:c800")&amp;INDIRECT("Pianificazione!a1:a800"),0)),"hh:mm"),""))</f>
        <v>Riposo</v>
      </c>
      <c r="H10" s="15" t="str" cm="1">
        <f t="array" aca="1" ref="H10" ca="1">+IF(IFERROR(TEXT(INDEX(INDIRECT("Pianificazione!e1:e800"),MATCH($A10&amp;H$1,INDIRECT("Pianificazione!c1:c800")&amp;INDIRECT("Pianificazione!a1:a800"),0)),"hh:mm"),"")&amp;"-"&amp;IFERROR(TEXT(INDEX(INDIRECT("Pianificazione!f1:f800"),MATCH($A10&amp;H$1,INDIRECT("Pianificazione!c1:c800")&amp;INDIRECT("Pianificazione!a1:a800"),0)),"hh:mm"),"")="-","Riposo",IFERROR(TEXT(INDEX(INDIRECT("Pianificazione!e1:e800"),MATCH($A10&amp;H$1,INDIRECT("Pianificazione!c1:c800")&amp;INDIRECT("Pianificazione!a1:a800"),0)),"hh:mm"),"")&amp;"-"&amp;IFERROR(TEXT(INDEX(INDIRECT("Pianificazione!f1:f800"),MATCH($A10&amp;H$1,INDIRECT("Pianificazione!c1:c800")&amp;INDIRECT("Pianificazione!a1:a800"),0)),"hh:mm"),""))</f>
        <v>Riposo</v>
      </c>
      <c r="J10" s="4">
        <v>1</v>
      </c>
    </row>
    <row r="11" spans="1:19">
      <c r="A11" t="str">
        <f>+Risorse!B11</f>
        <v>Aronica Martina</v>
      </c>
      <c r="B11" s="15" t="str" cm="1">
        <f t="array" aca="1" ref="B11" ca="1">+IF(IFERROR(TEXT(INDEX(INDIRECT("Pianificazione!e1:e800"),MATCH($A11&amp;B$1,INDIRECT("Pianificazione!c1:c800")&amp;INDIRECT("Pianificazione!a1:a800"),0)),"hh:mm"),"")&amp;"-"&amp;IFERROR(TEXT(INDEX(INDIRECT("Pianificazione!f1:f800"),MATCH($A11&amp;B$1,INDIRECT("Pianificazione!c1:c800")&amp;INDIRECT("Pianificazione!a1:a800"),0)),"hh:mm"),"")="-","Riposo",IFERROR(TEXT(INDEX(INDIRECT("Pianificazione!e1:e800"),MATCH($A11&amp;B$1,INDIRECT("Pianificazione!c1:c800")&amp;INDIRECT("Pianificazione!a1:a800"),0)),"hh:mm"),"")&amp;"-"&amp;IFERROR(TEXT(INDEX(INDIRECT("Pianificazione!f1:f800"),MATCH($A11&amp;B$1,INDIRECT("Pianificazione!c1:c800")&amp;INDIRECT("Pianificazione!a1:a800"),0)),"hh:mm"),""))</f>
        <v>Riposo</v>
      </c>
      <c r="C11" s="15" t="str" cm="1">
        <f t="array" aca="1" ref="C11" ca="1">+IF(IFERROR(TEXT(INDEX(INDIRECT("Pianificazione!e1:e800"),MATCH($A11&amp;C$1,INDIRECT("Pianificazione!c1:c800")&amp;INDIRECT("Pianificazione!a1:a800"),0)),"hh:mm"),"")&amp;"-"&amp;IFERROR(TEXT(INDEX(INDIRECT("Pianificazione!f1:f800"),MATCH($A11&amp;C$1,INDIRECT("Pianificazione!c1:c800")&amp;INDIRECT("Pianificazione!a1:a800"),0)),"hh:mm"),"")="-","Riposo",IFERROR(TEXT(INDEX(INDIRECT("Pianificazione!e1:e800"),MATCH($A11&amp;C$1,INDIRECT("Pianificazione!c1:c800")&amp;INDIRECT("Pianificazione!a1:a800"),0)),"hh:mm"),"")&amp;"-"&amp;IFERROR(TEXT(INDEX(INDIRECT("Pianificazione!f1:f800"),MATCH($A11&amp;C$1,INDIRECT("Pianificazione!c1:c800")&amp;INDIRECT("Pianificazione!a1:a800"),0)),"hh:mm"),""))</f>
        <v>Riposo</v>
      </c>
      <c r="D11" s="15" t="str" cm="1">
        <f t="array" aca="1" ref="D11" ca="1">+IF(IFERROR(TEXT(INDEX(INDIRECT("Pianificazione!e1:e800"),MATCH($A11&amp;D$1,INDIRECT("Pianificazione!c1:c800")&amp;INDIRECT("Pianificazione!a1:a800"),0)),"hh:mm"),"")&amp;"-"&amp;IFERROR(TEXT(INDEX(INDIRECT("Pianificazione!f1:f800"),MATCH($A11&amp;D$1,INDIRECT("Pianificazione!c1:c800")&amp;INDIRECT("Pianificazione!a1:a800"),0)),"hh:mm"),"")="-","Riposo",IFERROR(TEXT(INDEX(INDIRECT("Pianificazione!e1:e800"),MATCH($A11&amp;D$1,INDIRECT("Pianificazione!c1:c800")&amp;INDIRECT("Pianificazione!a1:a800"),0)),"hh:mm"),"")&amp;"-"&amp;IFERROR(TEXT(INDEX(INDIRECT("Pianificazione!f1:f800"),MATCH($A11&amp;D$1,INDIRECT("Pianificazione!c1:c800")&amp;INDIRECT("Pianificazione!a1:a800"),0)),"hh:mm"),""))</f>
        <v>Riposo</v>
      </c>
      <c r="E11" s="15" t="str" cm="1">
        <f t="array" aca="1" ref="E11" ca="1">+IF(IFERROR(TEXT(INDEX(INDIRECT("Pianificazione!e1:e800"),MATCH($A11&amp;E$1,INDIRECT("Pianificazione!c1:c800")&amp;INDIRECT("Pianificazione!a1:a800"),0)),"hh:mm"),"")&amp;"-"&amp;IFERROR(TEXT(INDEX(INDIRECT("Pianificazione!f1:f800"),MATCH($A11&amp;E$1,INDIRECT("Pianificazione!c1:c800")&amp;INDIRECT("Pianificazione!a1:a800"),0)),"hh:mm"),"")="-","Riposo",IFERROR(TEXT(INDEX(INDIRECT("Pianificazione!e1:e800"),MATCH($A11&amp;E$1,INDIRECT("Pianificazione!c1:c800")&amp;INDIRECT("Pianificazione!a1:a800"),0)),"hh:mm"),"")&amp;"-"&amp;IFERROR(TEXT(INDEX(INDIRECT("Pianificazione!f1:f800"),MATCH($A11&amp;E$1,INDIRECT("Pianificazione!c1:c800")&amp;INDIRECT("Pianificazione!a1:a800"),0)),"hh:mm"),""))</f>
        <v>Riposo</v>
      </c>
      <c r="F11" s="15" t="str" cm="1">
        <f t="array" aca="1" ref="F11" ca="1">+IF(IFERROR(TEXT(INDEX(INDIRECT("Pianificazione!e1:e800"),MATCH($A11&amp;F$1,INDIRECT("Pianificazione!c1:c800")&amp;INDIRECT("Pianificazione!a1:a800"),0)),"hh:mm"),"")&amp;"-"&amp;IFERROR(TEXT(INDEX(INDIRECT("Pianificazione!f1:f800"),MATCH($A11&amp;F$1,INDIRECT("Pianificazione!c1:c800")&amp;INDIRECT("Pianificazione!a1:a800"),0)),"hh:mm"),"")="-","Riposo",IFERROR(TEXT(INDEX(INDIRECT("Pianificazione!e1:e800"),MATCH($A11&amp;F$1,INDIRECT("Pianificazione!c1:c800")&amp;INDIRECT("Pianificazione!a1:a800"),0)),"hh:mm"),"")&amp;"-"&amp;IFERROR(TEXT(INDEX(INDIRECT("Pianificazione!f1:f800"),MATCH($A11&amp;F$1,INDIRECT("Pianificazione!c1:c800")&amp;INDIRECT("Pianificazione!a1:a800"),0)),"hh:mm"),""))</f>
        <v>Riposo</v>
      </c>
      <c r="G11" s="15" t="str" cm="1">
        <f t="array" aca="1" ref="G11" ca="1">+IF(IFERROR(TEXT(INDEX(INDIRECT("Pianificazione!e1:e800"),MATCH($A11&amp;G$1,INDIRECT("Pianificazione!c1:c800")&amp;INDIRECT("Pianificazione!a1:a800"),0)),"hh:mm"),"")&amp;"-"&amp;IFERROR(TEXT(INDEX(INDIRECT("Pianificazione!f1:f800"),MATCH($A11&amp;G$1,INDIRECT("Pianificazione!c1:c800")&amp;INDIRECT("Pianificazione!a1:a800"),0)),"hh:mm"),"")="-","Riposo",IFERROR(TEXT(INDEX(INDIRECT("Pianificazione!e1:e800"),MATCH($A11&amp;G$1,INDIRECT("Pianificazione!c1:c800")&amp;INDIRECT("Pianificazione!a1:a800"),0)),"hh:mm"),"")&amp;"-"&amp;IFERROR(TEXT(INDEX(INDIRECT("Pianificazione!f1:f800"),MATCH($A11&amp;G$1,INDIRECT("Pianificazione!c1:c800")&amp;INDIRECT("Pianificazione!a1:a800"),0)),"hh:mm"),""))</f>
        <v>Riposo</v>
      </c>
      <c r="H11" s="15" t="str" cm="1">
        <f t="array" aca="1" ref="H11" ca="1">+IF(IFERROR(TEXT(INDEX(INDIRECT("Pianificazione!e1:e800"),MATCH($A11&amp;H$1,INDIRECT("Pianificazione!c1:c800")&amp;INDIRECT("Pianificazione!a1:a800"),0)),"hh:mm"),"")&amp;"-"&amp;IFERROR(TEXT(INDEX(INDIRECT("Pianificazione!f1:f800"),MATCH($A11&amp;H$1,INDIRECT("Pianificazione!c1:c800")&amp;INDIRECT("Pianificazione!a1:a800"),0)),"hh:mm"),"")="-","Riposo",IFERROR(TEXT(INDEX(INDIRECT("Pianificazione!e1:e800"),MATCH($A11&amp;H$1,INDIRECT("Pianificazione!c1:c800")&amp;INDIRECT("Pianificazione!a1:a800"),0)),"hh:mm"),"")&amp;"-"&amp;IFERROR(TEXT(INDEX(INDIRECT("Pianificazione!f1:f800"),MATCH($A11&amp;H$1,INDIRECT("Pianificazione!c1:c800")&amp;INDIRECT("Pianificazione!a1:a800"),0)),"hh:mm"),""))</f>
        <v>Riposo</v>
      </c>
      <c r="J11" s="4">
        <v>1</v>
      </c>
    </row>
    <row r="12" spans="1:19">
      <c r="A12" t="str">
        <f>+Risorse!B12</f>
        <v>Bonura Letizia</v>
      </c>
      <c r="B12" s="15" t="str" cm="1">
        <f t="array" aca="1" ref="B12" ca="1">+IF(IFERROR(TEXT(INDEX(INDIRECT("Pianificazione!e1:e800"),MATCH($A12&amp;B$1,INDIRECT("Pianificazione!c1:c800")&amp;INDIRECT("Pianificazione!a1:a800"),0)),"hh:mm"),"")&amp;"-"&amp;IFERROR(TEXT(INDEX(INDIRECT("Pianificazione!f1:f800"),MATCH($A12&amp;B$1,INDIRECT("Pianificazione!c1:c800")&amp;INDIRECT("Pianificazione!a1:a800"),0)),"hh:mm"),"")="-","Riposo",IFERROR(TEXT(INDEX(INDIRECT("Pianificazione!e1:e800"),MATCH($A12&amp;B$1,INDIRECT("Pianificazione!c1:c800")&amp;INDIRECT("Pianificazione!a1:a800"),0)),"hh:mm"),"")&amp;"-"&amp;IFERROR(TEXT(INDEX(INDIRECT("Pianificazione!f1:f800"),MATCH($A12&amp;B$1,INDIRECT("Pianificazione!c1:c800")&amp;INDIRECT("Pianificazione!a1:a800"),0)),"hh:mm"),""))</f>
        <v>Riposo</v>
      </c>
      <c r="C12" s="15" t="str" cm="1">
        <f t="array" aca="1" ref="C12" ca="1">+IF(IFERROR(TEXT(INDEX(INDIRECT("Pianificazione!e1:e800"),MATCH($A12&amp;C$1,INDIRECT("Pianificazione!c1:c800")&amp;INDIRECT("Pianificazione!a1:a800"),0)),"hh:mm"),"")&amp;"-"&amp;IFERROR(TEXT(INDEX(INDIRECT("Pianificazione!f1:f800"),MATCH($A12&amp;C$1,INDIRECT("Pianificazione!c1:c800")&amp;INDIRECT("Pianificazione!a1:a800"),0)),"hh:mm"),"")="-","Riposo",IFERROR(TEXT(INDEX(INDIRECT("Pianificazione!e1:e800"),MATCH($A12&amp;C$1,INDIRECT("Pianificazione!c1:c800")&amp;INDIRECT("Pianificazione!a1:a800"),0)),"hh:mm"),"")&amp;"-"&amp;IFERROR(TEXT(INDEX(INDIRECT("Pianificazione!f1:f800"),MATCH($A12&amp;C$1,INDIRECT("Pianificazione!c1:c800")&amp;INDIRECT("Pianificazione!a1:a800"),0)),"hh:mm"),""))</f>
        <v>Riposo</v>
      </c>
      <c r="D12" s="15" t="str" cm="1">
        <f t="array" aca="1" ref="D12" ca="1">+IF(IFERROR(TEXT(INDEX(INDIRECT("Pianificazione!e1:e800"),MATCH($A12&amp;D$1,INDIRECT("Pianificazione!c1:c800")&amp;INDIRECT("Pianificazione!a1:a800"),0)),"hh:mm"),"")&amp;"-"&amp;IFERROR(TEXT(INDEX(INDIRECT("Pianificazione!f1:f800"),MATCH($A12&amp;D$1,INDIRECT("Pianificazione!c1:c800")&amp;INDIRECT("Pianificazione!a1:a800"),0)),"hh:mm"),"")="-","Riposo",IFERROR(TEXT(INDEX(INDIRECT("Pianificazione!e1:e800"),MATCH($A12&amp;D$1,INDIRECT("Pianificazione!c1:c800")&amp;INDIRECT("Pianificazione!a1:a800"),0)),"hh:mm"),"")&amp;"-"&amp;IFERROR(TEXT(INDEX(INDIRECT("Pianificazione!f1:f800"),MATCH($A12&amp;D$1,INDIRECT("Pianificazione!c1:c800")&amp;INDIRECT("Pianificazione!a1:a800"),0)),"hh:mm"),""))</f>
        <v>Riposo</v>
      </c>
      <c r="E12" s="15" t="str" cm="1">
        <f t="array" aca="1" ref="E12" ca="1">+IF(IFERROR(TEXT(INDEX(INDIRECT("Pianificazione!e1:e800"),MATCH($A12&amp;E$1,INDIRECT("Pianificazione!c1:c800")&amp;INDIRECT("Pianificazione!a1:a800"),0)),"hh:mm"),"")&amp;"-"&amp;IFERROR(TEXT(INDEX(INDIRECT("Pianificazione!f1:f800"),MATCH($A12&amp;E$1,INDIRECT("Pianificazione!c1:c800")&amp;INDIRECT("Pianificazione!a1:a800"),0)),"hh:mm"),"")="-","Riposo",IFERROR(TEXT(INDEX(INDIRECT("Pianificazione!e1:e800"),MATCH($A12&amp;E$1,INDIRECT("Pianificazione!c1:c800")&amp;INDIRECT("Pianificazione!a1:a800"),0)),"hh:mm"),"")&amp;"-"&amp;IFERROR(TEXT(INDEX(INDIRECT("Pianificazione!f1:f800"),MATCH($A12&amp;E$1,INDIRECT("Pianificazione!c1:c800")&amp;INDIRECT("Pianificazione!a1:a800"),0)),"hh:mm"),""))</f>
        <v>Riposo</v>
      </c>
      <c r="F12" s="15" t="str" cm="1">
        <f t="array" aca="1" ref="F12" ca="1">+IF(IFERROR(TEXT(INDEX(INDIRECT("Pianificazione!e1:e800"),MATCH($A12&amp;F$1,INDIRECT("Pianificazione!c1:c800")&amp;INDIRECT("Pianificazione!a1:a800"),0)),"hh:mm"),"")&amp;"-"&amp;IFERROR(TEXT(INDEX(INDIRECT("Pianificazione!f1:f800"),MATCH($A12&amp;F$1,INDIRECT("Pianificazione!c1:c800")&amp;INDIRECT("Pianificazione!a1:a800"),0)),"hh:mm"),"")="-","Riposo",IFERROR(TEXT(INDEX(INDIRECT("Pianificazione!e1:e800"),MATCH($A12&amp;F$1,INDIRECT("Pianificazione!c1:c800")&amp;INDIRECT("Pianificazione!a1:a800"),0)),"hh:mm"),"")&amp;"-"&amp;IFERROR(TEXT(INDEX(INDIRECT("Pianificazione!f1:f800"),MATCH($A12&amp;F$1,INDIRECT("Pianificazione!c1:c800")&amp;INDIRECT("Pianificazione!a1:a800"),0)),"hh:mm"),""))</f>
        <v>Riposo</v>
      </c>
      <c r="G12" s="15" t="str" cm="1">
        <f t="array" aca="1" ref="G12" ca="1">+IF(IFERROR(TEXT(INDEX(INDIRECT("Pianificazione!e1:e800"),MATCH($A12&amp;G$1,INDIRECT("Pianificazione!c1:c800")&amp;INDIRECT("Pianificazione!a1:a800"),0)),"hh:mm"),"")&amp;"-"&amp;IFERROR(TEXT(INDEX(INDIRECT("Pianificazione!f1:f800"),MATCH($A12&amp;G$1,INDIRECT("Pianificazione!c1:c800")&amp;INDIRECT("Pianificazione!a1:a800"),0)),"hh:mm"),"")="-","Riposo",IFERROR(TEXT(INDEX(INDIRECT("Pianificazione!e1:e800"),MATCH($A12&amp;G$1,INDIRECT("Pianificazione!c1:c800")&amp;INDIRECT("Pianificazione!a1:a800"),0)),"hh:mm"),"")&amp;"-"&amp;IFERROR(TEXT(INDEX(INDIRECT("Pianificazione!f1:f800"),MATCH($A12&amp;G$1,INDIRECT("Pianificazione!c1:c800")&amp;INDIRECT("Pianificazione!a1:a800"),0)),"hh:mm"),""))</f>
        <v>Riposo</v>
      </c>
      <c r="H12" s="15" t="str" cm="1">
        <f t="array" aca="1" ref="H12" ca="1">+IF(IFERROR(TEXT(INDEX(INDIRECT("Pianificazione!e1:e800"),MATCH($A12&amp;H$1,INDIRECT("Pianificazione!c1:c800")&amp;INDIRECT("Pianificazione!a1:a800"),0)),"hh:mm"),"")&amp;"-"&amp;IFERROR(TEXT(INDEX(INDIRECT("Pianificazione!f1:f800"),MATCH($A12&amp;H$1,INDIRECT("Pianificazione!c1:c800")&amp;INDIRECT("Pianificazione!a1:a800"),0)),"hh:mm"),"")="-","Riposo",IFERROR(TEXT(INDEX(INDIRECT("Pianificazione!e1:e800"),MATCH($A12&amp;H$1,INDIRECT("Pianificazione!c1:c800")&amp;INDIRECT("Pianificazione!a1:a800"),0)),"hh:mm"),"")&amp;"-"&amp;IFERROR(TEXT(INDEX(INDIRECT("Pianificazione!f1:f800"),MATCH($A12&amp;H$1,INDIRECT("Pianificazione!c1:c800")&amp;INDIRECT("Pianificazione!a1:a800"),0)),"hh:mm"),""))</f>
        <v>Riposo</v>
      </c>
      <c r="J12" s="4">
        <v>1</v>
      </c>
    </row>
    <row r="13" spans="1:19">
      <c r="A13" t="str">
        <f>+Risorse!B13</f>
        <v>Brugnone Francesco</v>
      </c>
      <c r="B13" s="15" t="str" cm="1">
        <f t="array" aca="1" ref="B13" ca="1">+IF(IFERROR(TEXT(INDEX(INDIRECT("Pianificazione!e1:e800"),MATCH($A13&amp;B$1,INDIRECT("Pianificazione!c1:c800")&amp;INDIRECT("Pianificazione!a1:a800"),0)),"hh:mm"),"")&amp;"-"&amp;IFERROR(TEXT(INDEX(INDIRECT("Pianificazione!f1:f800"),MATCH($A13&amp;B$1,INDIRECT("Pianificazione!c1:c800")&amp;INDIRECT("Pianificazione!a1:a800"),0)),"hh:mm"),"")="-","Riposo",IFERROR(TEXT(INDEX(INDIRECT("Pianificazione!e1:e800"),MATCH($A13&amp;B$1,INDIRECT("Pianificazione!c1:c800")&amp;INDIRECT("Pianificazione!a1:a800"),0)),"hh:mm"),"")&amp;"-"&amp;IFERROR(TEXT(INDEX(INDIRECT("Pianificazione!f1:f800"),MATCH($A13&amp;B$1,INDIRECT("Pianificazione!c1:c800")&amp;INDIRECT("Pianificazione!a1:a800"),0)),"hh:mm"),""))</f>
        <v>Riposo</v>
      </c>
      <c r="C13" s="15" t="str" cm="1">
        <f t="array" aca="1" ref="C13" ca="1">+IF(IFERROR(TEXT(INDEX(INDIRECT("Pianificazione!e1:e800"),MATCH($A13&amp;C$1,INDIRECT("Pianificazione!c1:c800")&amp;INDIRECT("Pianificazione!a1:a800"),0)),"hh:mm"),"")&amp;"-"&amp;IFERROR(TEXT(INDEX(INDIRECT("Pianificazione!f1:f800"),MATCH($A13&amp;C$1,INDIRECT("Pianificazione!c1:c800")&amp;INDIRECT("Pianificazione!a1:a800"),0)),"hh:mm"),"")="-","Riposo",IFERROR(TEXT(INDEX(INDIRECT("Pianificazione!e1:e800"),MATCH($A13&amp;C$1,INDIRECT("Pianificazione!c1:c800")&amp;INDIRECT("Pianificazione!a1:a800"),0)),"hh:mm"),"")&amp;"-"&amp;IFERROR(TEXT(INDEX(INDIRECT("Pianificazione!f1:f800"),MATCH($A13&amp;C$1,INDIRECT("Pianificazione!c1:c800")&amp;INDIRECT("Pianificazione!a1:a800"),0)),"hh:mm"),""))</f>
        <v>Riposo</v>
      </c>
      <c r="D13" s="15" t="str" cm="1">
        <f t="array" aca="1" ref="D13" ca="1">+IF(IFERROR(TEXT(INDEX(INDIRECT("Pianificazione!e1:e800"),MATCH($A13&amp;D$1,INDIRECT("Pianificazione!c1:c800")&amp;INDIRECT("Pianificazione!a1:a800"),0)),"hh:mm"),"")&amp;"-"&amp;IFERROR(TEXT(INDEX(INDIRECT("Pianificazione!f1:f800"),MATCH($A13&amp;D$1,INDIRECT("Pianificazione!c1:c800")&amp;INDIRECT("Pianificazione!a1:a800"),0)),"hh:mm"),"")="-","Riposo",IFERROR(TEXT(INDEX(INDIRECT("Pianificazione!e1:e800"),MATCH($A13&amp;D$1,INDIRECT("Pianificazione!c1:c800")&amp;INDIRECT("Pianificazione!a1:a800"),0)),"hh:mm"),"")&amp;"-"&amp;IFERROR(TEXT(INDEX(INDIRECT("Pianificazione!f1:f800"),MATCH($A13&amp;D$1,INDIRECT("Pianificazione!c1:c800")&amp;INDIRECT("Pianificazione!a1:a800"),0)),"hh:mm"),""))</f>
        <v>Riposo</v>
      </c>
      <c r="E13" s="15" t="str" cm="1">
        <f t="array" aca="1" ref="E13" ca="1">+IF(IFERROR(TEXT(INDEX(INDIRECT("Pianificazione!e1:e800"),MATCH($A13&amp;E$1,INDIRECT("Pianificazione!c1:c800")&amp;INDIRECT("Pianificazione!a1:a800"),0)),"hh:mm"),"")&amp;"-"&amp;IFERROR(TEXT(INDEX(INDIRECT("Pianificazione!f1:f800"),MATCH($A13&amp;E$1,INDIRECT("Pianificazione!c1:c800")&amp;INDIRECT("Pianificazione!a1:a800"),0)),"hh:mm"),"")="-","Riposo",IFERROR(TEXT(INDEX(INDIRECT("Pianificazione!e1:e800"),MATCH($A13&amp;E$1,INDIRECT("Pianificazione!c1:c800")&amp;INDIRECT("Pianificazione!a1:a800"),0)),"hh:mm"),"")&amp;"-"&amp;IFERROR(TEXT(INDEX(INDIRECT("Pianificazione!f1:f800"),MATCH($A13&amp;E$1,INDIRECT("Pianificazione!c1:c800")&amp;INDIRECT("Pianificazione!a1:a800"),0)),"hh:mm"),""))</f>
        <v>Riposo</v>
      </c>
      <c r="F13" s="15" t="str" cm="1">
        <f t="array" aca="1" ref="F13" ca="1">+IF(IFERROR(TEXT(INDEX(INDIRECT("Pianificazione!e1:e800"),MATCH($A13&amp;F$1,INDIRECT("Pianificazione!c1:c800")&amp;INDIRECT("Pianificazione!a1:a800"),0)),"hh:mm"),"")&amp;"-"&amp;IFERROR(TEXT(INDEX(INDIRECT("Pianificazione!f1:f800"),MATCH($A13&amp;F$1,INDIRECT("Pianificazione!c1:c800")&amp;INDIRECT("Pianificazione!a1:a800"),0)),"hh:mm"),"")="-","Riposo",IFERROR(TEXT(INDEX(INDIRECT("Pianificazione!e1:e800"),MATCH($A13&amp;F$1,INDIRECT("Pianificazione!c1:c800")&amp;INDIRECT("Pianificazione!a1:a800"),0)),"hh:mm"),"")&amp;"-"&amp;IFERROR(TEXT(INDEX(INDIRECT("Pianificazione!f1:f800"),MATCH($A13&amp;F$1,INDIRECT("Pianificazione!c1:c800")&amp;INDIRECT("Pianificazione!a1:a800"),0)),"hh:mm"),""))</f>
        <v>Riposo</v>
      </c>
      <c r="G13" s="15" t="str" cm="1">
        <f t="array" aca="1" ref="G13" ca="1">+IF(IFERROR(TEXT(INDEX(INDIRECT("Pianificazione!e1:e800"),MATCH($A13&amp;G$1,INDIRECT("Pianificazione!c1:c800")&amp;INDIRECT("Pianificazione!a1:a800"),0)),"hh:mm"),"")&amp;"-"&amp;IFERROR(TEXT(INDEX(INDIRECT("Pianificazione!f1:f800"),MATCH($A13&amp;G$1,INDIRECT("Pianificazione!c1:c800")&amp;INDIRECT("Pianificazione!a1:a800"),0)),"hh:mm"),"")="-","Riposo",IFERROR(TEXT(INDEX(INDIRECT("Pianificazione!e1:e800"),MATCH($A13&amp;G$1,INDIRECT("Pianificazione!c1:c800")&amp;INDIRECT("Pianificazione!a1:a800"),0)),"hh:mm"),"")&amp;"-"&amp;IFERROR(TEXT(INDEX(INDIRECT("Pianificazione!f1:f800"),MATCH($A13&amp;G$1,INDIRECT("Pianificazione!c1:c800")&amp;INDIRECT("Pianificazione!a1:a800"),0)),"hh:mm"),""))</f>
        <v>Riposo</v>
      </c>
      <c r="H13" s="15" t="str" cm="1">
        <f t="array" aca="1" ref="H13" ca="1">+IF(IFERROR(TEXT(INDEX(INDIRECT("Pianificazione!e1:e800"),MATCH($A13&amp;H$1,INDIRECT("Pianificazione!c1:c800")&amp;INDIRECT("Pianificazione!a1:a800"),0)),"hh:mm"),"")&amp;"-"&amp;IFERROR(TEXT(INDEX(INDIRECT("Pianificazione!f1:f800"),MATCH($A13&amp;H$1,INDIRECT("Pianificazione!c1:c800")&amp;INDIRECT("Pianificazione!a1:a800"),0)),"hh:mm"),"")="-","Riposo",IFERROR(TEXT(INDEX(INDIRECT("Pianificazione!e1:e800"),MATCH($A13&amp;H$1,INDIRECT("Pianificazione!c1:c800")&amp;INDIRECT("Pianificazione!a1:a800"),0)),"hh:mm"),"")&amp;"-"&amp;IFERROR(TEXT(INDEX(INDIRECT("Pianificazione!f1:f800"),MATCH($A13&amp;H$1,INDIRECT("Pianificazione!c1:c800")&amp;INDIRECT("Pianificazione!a1:a800"),0)),"hh:mm"),""))</f>
        <v>Riposo</v>
      </c>
      <c r="J13" s="4">
        <v>1</v>
      </c>
    </row>
    <row r="14" spans="1:19">
      <c r="A14" t="str">
        <f>+Risorse!B14</f>
        <v>Brusca Loredana</v>
      </c>
      <c r="B14" s="15" t="str" cm="1">
        <f t="array" aca="1" ref="B14" ca="1">+IF(IFERROR(TEXT(INDEX(INDIRECT("Pianificazione!e1:e800"),MATCH($A14&amp;B$1,INDIRECT("Pianificazione!c1:c800")&amp;INDIRECT("Pianificazione!a1:a800"),0)),"hh:mm"),"")&amp;"-"&amp;IFERROR(TEXT(INDEX(INDIRECT("Pianificazione!f1:f800"),MATCH($A14&amp;B$1,INDIRECT("Pianificazione!c1:c800")&amp;INDIRECT("Pianificazione!a1:a800"),0)),"hh:mm"),"")="-","Riposo",IFERROR(TEXT(INDEX(INDIRECT("Pianificazione!e1:e800"),MATCH($A14&amp;B$1,INDIRECT("Pianificazione!c1:c800")&amp;INDIRECT("Pianificazione!a1:a800"),0)),"hh:mm"),"")&amp;"-"&amp;IFERROR(TEXT(INDEX(INDIRECT("Pianificazione!f1:f800"),MATCH($A14&amp;B$1,INDIRECT("Pianificazione!c1:c800")&amp;INDIRECT("Pianificazione!a1:a800"),0)),"hh:mm"),""))</f>
        <v>Riposo</v>
      </c>
      <c r="C14" s="15" t="str" cm="1">
        <f t="array" aca="1" ref="C14" ca="1">+IF(IFERROR(TEXT(INDEX(INDIRECT("Pianificazione!e1:e800"),MATCH($A14&amp;C$1,INDIRECT("Pianificazione!c1:c800")&amp;INDIRECT("Pianificazione!a1:a800"),0)),"hh:mm"),"")&amp;"-"&amp;IFERROR(TEXT(INDEX(INDIRECT("Pianificazione!f1:f800"),MATCH($A14&amp;C$1,INDIRECT("Pianificazione!c1:c800")&amp;INDIRECT("Pianificazione!a1:a800"),0)),"hh:mm"),"")="-","Riposo",IFERROR(TEXT(INDEX(INDIRECT("Pianificazione!e1:e800"),MATCH($A14&amp;C$1,INDIRECT("Pianificazione!c1:c800")&amp;INDIRECT("Pianificazione!a1:a800"),0)),"hh:mm"),"")&amp;"-"&amp;IFERROR(TEXT(INDEX(INDIRECT("Pianificazione!f1:f800"),MATCH($A14&amp;C$1,INDIRECT("Pianificazione!c1:c800")&amp;INDIRECT("Pianificazione!a1:a800"),0)),"hh:mm"),""))</f>
        <v>Riposo</v>
      </c>
      <c r="D14" s="15" t="str" cm="1">
        <f t="array" aca="1" ref="D14" ca="1">+IF(IFERROR(TEXT(INDEX(INDIRECT("Pianificazione!e1:e800"),MATCH($A14&amp;D$1,INDIRECT("Pianificazione!c1:c800")&amp;INDIRECT("Pianificazione!a1:a800"),0)),"hh:mm"),"")&amp;"-"&amp;IFERROR(TEXT(INDEX(INDIRECT("Pianificazione!f1:f800"),MATCH($A14&amp;D$1,INDIRECT("Pianificazione!c1:c800")&amp;INDIRECT("Pianificazione!a1:a800"),0)),"hh:mm"),"")="-","Riposo",IFERROR(TEXT(INDEX(INDIRECT("Pianificazione!e1:e800"),MATCH($A14&amp;D$1,INDIRECT("Pianificazione!c1:c800")&amp;INDIRECT("Pianificazione!a1:a800"),0)),"hh:mm"),"")&amp;"-"&amp;IFERROR(TEXT(INDEX(INDIRECT("Pianificazione!f1:f800"),MATCH($A14&amp;D$1,INDIRECT("Pianificazione!c1:c800")&amp;INDIRECT("Pianificazione!a1:a800"),0)),"hh:mm"),""))</f>
        <v>Riposo</v>
      </c>
      <c r="E14" s="15" t="str" cm="1">
        <f t="array" aca="1" ref="E14" ca="1">+IF(IFERROR(TEXT(INDEX(INDIRECT("Pianificazione!e1:e800"),MATCH($A14&amp;E$1,INDIRECT("Pianificazione!c1:c800")&amp;INDIRECT("Pianificazione!a1:a800"),0)),"hh:mm"),"")&amp;"-"&amp;IFERROR(TEXT(INDEX(INDIRECT("Pianificazione!f1:f800"),MATCH($A14&amp;E$1,INDIRECT("Pianificazione!c1:c800")&amp;INDIRECT("Pianificazione!a1:a800"),0)),"hh:mm"),"")="-","Riposo",IFERROR(TEXT(INDEX(INDIRECT("Pianificazione!e1:e800"),MATCH($A14&amp;E$1,INDIRECT("Pianificazione!c1:c800")&amp;INDIRECT("Pianificazione!a1:a800"),0)),"hh:mm"),"")&amp;"-"&amp;IFERROR(TEXT(INDEX(INDIRECT("Pianificazione!f1:f800"),MATCH($A14&amp;E$1,INDIRECT("Pianificazione!c1:c800")&amp;INDIRECT("Pianificazione!a1:a800"),0)),"hh:mm"),""))</f>
        <v>Riposo</v>
      </c>
      <c r="F14" s="15" t="str" cm="1">
        <f t="array" aca="1" ref="F14" ca="1">+IF(IFERROR(TEXT(INDEX(INDIRECT("Pianificazione!e1:e800"),MATCH($A14&amp;F$1,INDIRECT("Pianificazione!c1:c800")&amp;INDIRECT("Pianificazione!a1:a800"),0)),"hh:mm"),"")&amp;"-"&amp;IFERROR(TEXT(INDEX(INDIRECT("Pianificazione!f1:f800"),MATCH($A14&amp;F$1,INDIRECT("Pianificazione!c1:c800")&amp;INDIRECT("Pianificazione!a1:a800"),0)),"hh:mm"),"")="-","Riposo",IFERROR(TEXT(INDEX(INDIRECT("Pianificazione!e1:e800"),MATCH($A14&amp;F$1,INDIRECT("Pianificazione!c1:c800")&amp;INDIRECT("Pianificazione!a1:a800"),0)),"hh:mm"),"")&amp;"-"&amp;IFERROR(TEXT(INDEX(INDIRECT("Pianificazione!f1:f800"),MATCH($A14&amp;F$1,INDIRECT("Pianificazione!c1:c800")&amp;INDIRECT("Pianificazione!a1:a800"),0)),"hh:mm"),""))</f>
        <v>Riposo</v>
      </c>
      <c r="G14" s="15" t="str" cm="1">
        <f t="array" aca="1" ref="G14" ca="1">+IF(IFERROR(TEXT(INDEX(INDIRECT("Pianificazione!e1:e800"),MATCH($A14&amp;G$1,INDIRECT("Pianificazione!c1:c800")&amp;INDIRECT("Pianificazione!a1:a800"),0)),"hh:mm"),"")&amp;"-"&amp;IFERROR(TEXT(INDEX(INDIRECT("Pianificazione!f1:f800"),MATCH($A14&amp;G$1,INDIRECT("Pianificazione!c1:c800")&amp;INDIRECT("Pianificazione!a1:a800"),0)),"hh:mm"),"")="-","Riposo",IFERROR(TEXT(INDEX(INDIRECT("Pianificazione!e1:e800"),MATCH($A14&amp;G$1,INDIRECT("Pianificazione!c1:c800")&amp;INDIRECT("Pianificazione!a1:a800"),0)),"hh:mm"),"")&amp;"-"&amp;IFERROR(TEXT(INDEX(INDIRECT("Pianificazione!f1:f800"),MATCH($A14&amp;G$1,INDIRECT("Pianificazione!c1:c800")&amp;INDIRECT("Pianificazione!a1:a800"),0)),"hh:mm"),""))</f>
        <v>Riposo</v>
      </c>
      <c r="H14" s="15" t="str" cm="1">
        <f t="array" aca="1" ref="H14" ca="1">+IF(IFERROR(TEXT(INDEX(INDIRECT("Pianificazione!e1:e800"),MATCH($A14&amp;H$1,INDIRECT("Pianificazione!c1:c800")&amp;INDIRECT("Pianificazione!a1:a800"),0)),"hh:mm"),"")&amp;"-"&amp;IFERROR(TEXT(INDEX(INDIRECT("Pianificazione!f1:f800"),MATCH($A14&amp;H$1,INDIRECT("Pianificazione!c1:c800")&amp;INDIRECT("Pianificazione!a1:a800"),0)),"hh:mm"),"")="-","Riposo",IFERROR(TEXT(INDEX(INDIRECT("Pianificazione!e1:e800"),MATCH($A14&amp;H$1,INDIRECT("Pianificazione!c1:c800")&amp;INDIRECT("Pianificazione!a1:a800"),0)),"hh:mm"),"")&amp;"-"&amp;IFERROR(TEXT(INDEX(INDIRECT("Pianificazione!f1:f800"),MATCH($A14&amp;H$1,INDIRECT("Pianificazione!c1:c800")&amp;INDIRECT("Pianificazione!a1:a800"),0)),"hh:mm"),""))</f>
        <v>Riposo</v>
      </c>
      <c r="J14" s="4">
        <v>1</v>
      </c>
    </row>
    <row r="15" spans="1:19">
      <c r="A15" t="str">
        <f>+Risorse!B15</f>
        <v>Burgio Maria</v>
      </c>
      <c r="B15" s="15" t="str" cm="1">
        <f t="array" aca="1" ref="B15" ca="1">+IF(IFERROR(TEXT(INDEX(INDIRECT("Pianificazione!e1:e800"),MATCH($A15&amp;B$1,INDIRECT("Pianificazione!c1:c800")&amp;INDIRECT("Pianificazione!a1:a800"),0)),"hh:mm"),"")&amp;"-"&amp;IFERROR(TEXT(INDEX(INDIRECT("Pianificazione!f1:f800"),MATCH($A15&amp;B$1,INDIRECT("Pianificazione!c1:c800")&amp;INDIRECT("Pianificazione!a1:a800"),0)),"hh:mm"),"")="-","Riposo",IFERROR(TEXT(INDEX(INDIRECT("Pianificazione!e1:e800"),MATCH($A15&amp;B$1,INDIRECT("Pianificazione!c1:c800")&amp;INDIRECT("Pianificazione!a1:a800"),0)),"hh:mm"),"")&amp;"-"&amp;IFERROR(TEXT(INDEX(INDIRECT("Pianificazione!f1:f800"),MATCH($A15&amp;B$1,INDIRECT("Pianificazione!c1:c800")&amp;INDIRECT("Pianificazione!a1:a800"),0)),"hh:mm"),""))</f>
        <v>Riposo</v>
      </c>
      <c r="C15" s="15" t="str" cm="1">
        <f t="array" aca="1" ref="C15" ca="1">+IF(IFERROR(TEXT(INDEX(INDIRECT("Pianificazione!e1:e800"),MATCH($A15&amp;C$1,INDIRECT("Pianificazione!c1:c800")&amp;INDIRECT("Pianificazione!a1:a800"),0)),"hh:mm"),"")&amp;"-"&amp;IFERROR(TEXT(INDEX(INDIRECT("Pianificazione!f1:f800"),MATCH($A15&amp;C$1,INDIRECT("Pianificazione!c1:c800")&amp;INDIRECT("Pianificazione!a1:a800"),0)),"hh:mm"),"")="-","Riposo",IFERROR(TEXT(INDEX(INDIRECT("Pianificazione!e1:e800"),MATCH($A15&amp;C$1,INDIRECT("Pianificazione!c1:c800")&amp;INDIRECT("Pianificazione!a1:a800"),0)),"hh:mm"),"")&amp;"-"&amp;IFERROR(TEXT(INDEX(INDIRECT("Pianificazione!f1:f800"),MATCH($A15&amp;C$1,INDIRECT("Pianificazione!c1:c800")&amp;INDIRECT("Pianificazione!a1:a800"),0)),"hh:mm"),""))</f>
        <v>Riposo</v>
      </c>
      <c r="D15" s="15" t="str" cm="1">
        <f t="array" aca="1" ref="D15" ca="1">+IF(IFERROR(TEXT(INDEX(INDIRECT("Pianificazione!e1:e800"),MATCH($A15&amp;D$1,INDIRECT("Pianificazione!c1:c800")&amp;INDIRECT("Pianificazione!a1:a800"),0)),"hh:mm"),"")&amp;"-"&amp;IFERROR(TEXT(INDEX(INDIRECT("Pianificazione!f1:f800"),MATCH($A15&amp;D$1,INDIRECT("Pianificazione!c1:c800")&amp;INDIRECT("Pianificazione!a1:a800"),0)),"hh:mm"),"")="-","Riposo",IFERROR(TEXT(INDEX(INDIRECT("Pianificazione!e1:e800"),MATCH($A15&amp;D$1,INDIRECT("Pianificazione!c1:c800")&amp;INDIRECT("Pianificazione!a1:a800"),0)),"hh:mm"),"")&amp;"-"&amp;IFERROR(TEXT(INDEX(INDIRECT("Pianificazione!f1:f800"),MATCH($A15&amp;D$1,INDIRECT("Pianificazione!c1:c800")&amp;INDIRECT("Pianificazione!a1:a800"),0)),"hh:mm"),""))</f>
        <v>Riposo</v>
      </c>
      <c r="E15" s="15" t="str" cm="1">
        <f t="array" aca="1" ref="E15" ca="1">+IF(IFERROR(TEXT(INDEX(INDIRECT("Pianificazione!e1:e800"),MATCH($A15&amp;E$1,INDIRECT("Pianificazione!c1:c800")&amp;INDIRECT("Pianificazione!a1:a800"),0)),"hh:mm"),"")&amp;"-"&amp;IFERROR(TEXT(INDEX(INDIRECT("Pianificazione!f1:f800"),MATCH($A15&amp;E$1,INDIRECT("Pianificazione!c1:c800")&amp;INDIRECT("Pianificazione!a1:a800"),0)),"hh:mm"),"")="-","Riposo",IFERROR(TEXT(INDEX(INDIRECT("Pianificazione!e1:e800"),MATCH($A15&amp;E$1,INDIRECT("Pianificazione!c1:c800")&amp;INDIRECT("Pianificazione!a1:a800"),0)),"hh:mm"),"")&amp;"-"&amp;IFERROR(TEXT(INDEX(INDIRECT("Pianificazione!f1:f800"),MATCH($A15&amp;E$1,INDIRECT("Pianificazione!c1:c800")&amp;INDIRECT("Pianificazione!a1:a800"),0)),"hh:mm"),""))</f>
        <v>Riposo</v>
      </c>
      <c r="F15" s="15" t="str" cm="1">
        <f t="array" aca="1" ref="F15" ca="1">+IF(IFERROR(TEXT(INDEX(INDIRECT("Pianificazione!e1:e800"),MATCH($A15&amp;F$1,INDIRECT("Pianificazione!c1:c800")&amp;INDIRECT("Pianificazione!a1:a800"),0)),"hh:mm"),"")&amp;"-"&amp;IFERROR(TEXT(INDEX(INDIRECT("Pianificazione!f1:f800"),MATCH($A15&amp;F$1,INDIRECT("Pianificazione!c1:c800")&amp;INDIRECT("Pianificazione!a1:a800"),0)),"hh:mm"),"")="-","Riposo",IFERROR(TEXT(INDEX(INDIRECT("Pianificazione!e1:e800"),MATCH($A15&amp;F$1,INDIRECT("Pianificazione!c1:c800")&amp;INDIRECT("Pianificazione!a1:a800"),0)),"hh:mm"),"")&amp;"-"&amp;IFERROR(TEXT(INDEX(INDIRECT("Pianificazione!f1:f800"),MATCH($A15&amp;F$1,INDIRECT("Pianificazione!c1:c800")&amp;INDIRECT("Pianificazione!a1:a800"),0)),"hh:mm"),""))</f>
        <v>Riposo</v>
      </c>
      <c r="G15" s="15" t="str" cm="1">
        <f t="array" aca="1" ref="G15" ca="1">+IF(IFERROR(TEXT(INDEX(INDIRECT("Pianificazione!e1:e800"),MATCH($A15&amp;G$1,INDIRECT("Pianificazione!c1:c800")&amp;INDIRECT("Pianificazione!a1:a800"),0)),"hh:mm"),"")&amp;"-"&amp;IFERROR(TEXT(INDEX(INDIRECT("Pianificazione!f1:f800"),MATCH($A15&amp;G$1,INDIRECT("Pianificazione!c1:c800")&amp;INDIRECT("Pianificazione!a1:a800"),0)),"hh:mm"),"")="-","Riposo",IFERROR(TEXT(INDEX(INDIRECT("Pianificazione!e1:e800"),MATCH($A15&amp;G$1,INDIRECT("Pianificazione!c1:c800")&amp;INDIRECT("Pianificazione!a1:a800"),0)),"hh:mm"),"")&amp;"-"&amp;IFERROR(TEXT(INDEX(INDIRECT("Pianificazione!f1:f800"),MATCH($A15&amp;G$1,INDIRECT("Pianificazione!c1:c800")&amp;INDIRECT("Pianificazione!a1:a800"),0)),"hh:mm"),""))</f>
        <v>Riposo</v>
      </c>
      <c r="H15" s="15" t="str" cm="1">
        <f t="array" aca="1" ref="H15" ca="1">+IF(IFERROR(TEXT(INDEX(INDIRECT("Pianificazione!e1:e800"),MATCH($A15&amp;H$1,INDIRECT("Pianificazione!c1:c800")&amp;INDIRECT("Pianificazione!a1:a800"),0)),"hh:mm"),"")&amp;"-"&amp;IFERROR(TEXT(INDEX(INDIRECT("Pianificazione!f1:f800"),MATCH($A15&amp;H$1,INDIRECT("Pianificazione!c1:c800")&amp;INDIRECT("Pianificazione!a1:a800"),0)),"hh:mm"),"")="-","Riposo",IFERROR(TEXT(INDEX(INDIRECT("Pianificazione!e1:e800"),MATCH($A15&amp;H$1,INDIRECT("Pianificazione!c1:c800")&amp;INDIRECT("Pianificazione!a1:a800"),0)),"hh:mm"),"")&amp;"-"&amp;IFERROR(TEXT(INDEX(INDIRECT("Pianificazione!f1:f800"),MATCH($A15&amp;H$1,INDIRECT("Pianificazione!c1:c800")&amp;INDIRECT("Pianificazione!a1:a800"),0)),"hh:mm"),""))</f>
        <v>Riposo</v>
      </c>
      <c r="J15" s="4">
        <v>1</v>
      </c>
    </row>
    <row r="16" spans="1:19">
      <c r="A16" t="str">
        <f>+Risorse!B16</f>
        <v>Candia Loredana</v>
      </c>
      <c r="B16" s="15" t="str" cm="1">
        <f t="array" aca="1" ref="B16" ca="1">+IF(IFERROR(TEXT(INDEX(INDIRECT("Pianificazione!e1:e800"),MATCH($A16&amp;B$1,INDIRECT("Pianificazione!c1:c800")&amp;INDIRECT("Pianificazione!a1:a800"),0)),"hh:mm"),"")&amp;"-"&amp;IFERROR(TEXT(INDEX(INDIRECT("Pianificazione!f1:f800"),MATCH($A16&amp;B$1,INDIRECT("Pianificazione!c1:c800")&amp;INDIRECT("Pianificazione!a1:a800"),0)),"hh:mm"),"")="-","Riposo",IFERROR(TEXT(INDEX(INDIRECT("Pianificazione!e1:e800"),MATCH($A16&amp;B$1,INDIRECT("Pianificazione!c1:c800")&amp;INDIRECT("Pianificazione!a1:a800"),0)),"hh:mm"),"")&amp;"-"&amp;IFERROR(TEXT(INDEX(INDIRECT("Pianificazione!f1:f800"),MATCH($A16&amp;B$1,INDIRECT("Pianificazione!c1:c800")&amp;INDIRECT("Pianificazione!a1:a800"),0)),"hh:mm"),""))</f>
        <v>Riposo</v>
      </c>
      <c r="C16" s="15" t="str" cm="1">
        <f t="array" aca="1" ref="C16" ca="1">+IF(IFERROR(TEXT(INDEX(INDIRECT("Pianificazione!e1:e800"),MATCH($A16&amp;C$1,INDIRECT("Pianificazione!c1:c800")&amp;INDIRECT("Pianificazione!a1:a800"),0)),"hh:mm"),"")&amp;"-"&amp;IFERROR(TEXT(INDEX(INDIRECT("Pianificazione!f1:f800"),MATCH($A16&amp;C$1,INDIRECT("Pianificazione!c1:c800")&amp;INDIRECT("Pianificazione!a1:a800"),0)),"hh:mm"),"")="-","Riposo",IFERROR(TEXT(INDEX(INDIRECT("Pianificazione!e1:e800"),MATCH($A16&amp;C$1,INDIRECT("Pianificazione!c1:c800")&amp;INDIRECT("Pianificazione!a1:a800"),0)),"hh:mm"),"")&amp;"-"&amp;IFERROR(TEXT(INDEX(INDIRECT("Pianificazione!f1:f800"),MATCH($A16&amp;C$1,INDIRECT("Pianificazione!c1:c800")&amp;INDIRECT("Pianificazione!a1:a800"),0)),"hh:mm"),""))</f>
        <v>Riposo</v>
      </c>
      <c r="D16" s="15" t="str" cm="1">
        <f t="array" aca="1" ref="D16" ca="1">+IF(IFERROR(TEXT(INDEX(INDIRECT("Pianificazione!e1:e800"),MATCH($A16&amp;D$1,INDIRECT("Pianificazione!c1:c800")&amp;INDIRECT("Pianificazione!a1:a800"),0)),"hh:mm"),"")&amp;"-"&amp;IFERROR(TEXT(INDEX(INDIRECT("Pianificazione!f1:f800"),MATCH($A16&amp;D$1,INDIRECT("Pianificazione!c1:c800")&amp;INDIRECT("Pianificazione!a1:a800"),0)),"hh:mm"),"")="-","Riposo",IFERROR(TEXT(INDEX(INDIRECT("Pianificazione!e1:e800"),MATCH($A16&amp;D$1,INDIRECT("Pianificazione!c1:c800")&amp;INDIRECT("Pianificazione!a1:a800"),0)),"hh:mm"),"")&amp;"-"&amp;IFERROR(TEXT(INDEX(INDIRECT("Pianificazione!f1:f800"),MATCH($A16&amp;D$1,INDIRECT("Pianificazione!c1:c800")&amp;INDIRECT("Pianificazione!a1:a800"),0)),"hh:mm"),""))</f>
        <v>Riposo</v>
      </c>
      <c r="E16" s="15" t="str" cm="1">
        <f t="array" aca="1" ref="E16" ca="1">+IF(IFERROR(TEXT(INDEX(INDIRECT("Pianificazione!e1:e800"),MATCH($A16&amp;E$1,INDIRECT("Pianificazione!c1:c800")&amp;INDIRECT("Pianificazione!a1:a800"),0)),"hh:mm"),"")&amp;"-"&amp;IFERROR(TEXT(INDEX(INDIRECT("Pianificazione!f1:f800"),MATCH($A16&amp;E$1,INDIRECT("Pianificazione!c1:c800")&amp;INDIRECT("Pianificazione!a1:a800"),0)),"hh:mm"),"")="-","Riposo",IFERROR(TEXT(INDEX(INDIRECT("Pianificazione!e1:e800"),MATCH($A16&amp;E$1,INDIRECT("Pianificazione!c1:c800")&amp;INDIRECT("Pianificazione!a1:a800"),0)),"hh:mm"),"")&amp;"-"&amp;IFERROR(TEXT(INDEX(INDIRECT("Pianificazione!f1:f800"),MATCH($A16&amp;E$1,INDIRECT("Pianificazione!c1:c800")&amp;INDIRECT("Pianificazione!a1:a800"),0)),"hh:mm"),""))</f>
        <v>Riposo</v>
      </c>
      <c r="F16" s="15" t="str" cm="1">
        <f t="array" aca="1" ref="F16" ca="1">+IF(IFERROR(TEXT(INDEX(INDIRECT("Pianificazione!e1:e800"),MATCH($A16&amp;F$1,INDIRECT("Pianificazione!c1:c800")&amp;INDIRECT("Pianificazione!a1:a800"),0)),"hh:mm"),"")&amp;"-"&amp;IFERROR(TEXT(INDEX(INDIRECT("Pianificazione!f1:f800"),MATCH($A16&amp;F$1,INDIRECT("Pianificazione!c1:c800")&amp;INDIRECT("Pianificazione!a1:a800"),0)),"hh:mm"),"")="-","Riposo",IFERROR(TEXT(INDEX(INDIRECT("Pianificazione!e1:e800"),MATCH($A16&amp;F$1,INDIRECT("Pianificazione!c1:c800")&amp;INDIRECT("Pianificazione!a1:a800"),0)),"hh:mm"),"")&amp;"-"&amp;IFERROR(TEXT(INDEX(INDIRECT("Pianificazione!f1:f800"),MATCH($A16&amp;F$1,INDIRECT("Pianificazione!c1:c800")&amp;INDIRECT("Pianificazione!a1:a800"),0)),"hh:mm"),""))</f>
        <v>Riposo</v>
      </c>
      <c r="G16" s="15" t="str" cm="1">
        <f t="array" aca="1" ref="G16" ca="1">+IF(IFERROR(TEXT(INDEX(INDIRECT("Pianificazione!e1:e800"),MATCH($A16&amp;G$1,INDIRECT("Pianificazione!c1:c800")&amp;INDIRECT("Pianificazione!a1:a800"),0)),"hh:mm"),"")&amp;"-"&amp;IFERROR(TEXT(INDEX(INDIRECT("Pianificazione!f1:f800"),MATCH($A16&amp;G$1,INDIRECT("Pianificazione!c1:c800")&amp;INDIRECT("Pianificazione!a1:a800"),0)),"hh:mm"),"")="-","Riposo",IFERROR(TEXT(INDEX(INDIRECT("Pianificazione!e1:e800"),MATCH($A16&amp;G$1,INDIRECT("Pianificazione!c1:c800")&amp;INDIRECT("Pianificazione!a1:a800"),0)),"hh:mm"),"")&amp;"-"&amp;IFERROR(TEXT(INDEX(INDIRECT("Pianificazione!f1:f800"),MATCH($A16&amp;G$1,INDIRECT("Pianificazione!c1:c800")&amp;INDIRECT("Pianificazione!a1:a800"),0)),"hh:mm"),""))</f>
        <v>Riposo</v>
      </c>
      <c r="H16" s="15" t="str" cm="1">
        <f t="array" aca="1" ref="H16" ca="1">+IF(IFERROR(TEXT(INDEX(INDIRECT("Pianificazione!e1:e800"),MATCH($A16&amp;H$1,INDIRECT("Pianificazione!c1:c800")&amp;INDIRECT("Pianificazione!a1:a800"),0)),"hh:mm"),"")&amp;"-"&amp;IFERROR(TEXT(INDEX(INDIRECT("Pianificazione!f1:f800"),MATCH($A16&amp;H$1,INDIRECT("Pianificazione!c1:c800")&amp;INDIRECT("Pianificazione!a1:a800"),0)),"hh:mm"),"")="-","Riposo",IFERROR(TEXT(INDEX(INDIRECT("Pianificazione!e1:e800"),MATCH($A16&amp;H$1,INDIRECT("Pianificazione!c1:c800")&amp;INDIRECT("Pianificazione!a1:a800"),0)),"hh:mm"),"")&amp;"-"&amp;IFERROR(TEXT(INDEX(INDIRECT("Pianificazione!f1:f800"),MATCH($A16&amp;H$1,INDIRECT("Pianificazione!c1:c800")&amp;INDIRECT("Pianificazione!a1:a800"),0)),"hh:mm"),""))</f>
        <v>Riposo</v>
      </c>
      <c r="J16" s="4">
        <v>1</v>
      </c>
    </row>
    <row r="17" spans="1:10">
      <c r="A17" t="str">
        <f>+Risorse!B17</f>
        <v>Caporrimo Maria</v>
      </c>
      <c r="B17" s="15" t="str" cm="1">
        <f t="array" aca="1" ref="B17" ca="1">+IF(IFERROR(TEXT(INDEX(INDIRECT("Pianificazione!e1:e800"),MATCH($A17&amp;B$1,INDIRECT("Pianificazione!c1:c800")&amp;INDIRECT("Pianificazione!a1:a800"),0)),"hh:mm"),"")&amp;"-"&amp;IFERROR(TEXT(INDEX(INDIRECT("Pianificazione!f1:f800"),MATCH($A17&amp;B$1,INDIRECT("Pianificazione!c1:c800")&amp;INDIRECT("Pianificazione!a1:a800"),0)),"hh:mm"),"")="-","Riposo",IFERROR(TEXT(INDEX(INDIRECT("Pianificazione!e1:e800"),MATCH($A17&amp;B$1,INDIRECT("Pianificazione!c1:c800")&amp;INDIRECT("Pianificazione!a1:a800"),0)),"hh:mm"),"")&amp;"-"&amp;IFERROR(TEXT(INDEX(INDIRECT("Pianificazione!f1:f800"),MATCH($A17&amp;B$1,INDIRECT("Pianificazione!c1:c800")&amp;INDIRECT("Pianificazione!a1:a800"),0)),"hh:mm"),""))</f>
        <v>Riposo</v>
      </c>
      <c r="C17" s="15" t="str" cm="1">
        <f t="array" aca="1" ref="C17" ca="1">+IF(IFERROR(TEXT(INDEX(INDIRECT("Pianificazione!e1:e800"),MATCH($A17&amp;C$1,INDIRECT("Pianificazione!c1:c800")&amp;INDIRECT("Pianificazione!a1:a800"),0)),"hh:mm"),"")&amp;"-"&amp;IFERROR(TEXT(INDEX(INDIRECT("Pianificazione!f1:f800"),MATCH($A17&amp;C$1,INDIRECT("Pianificazione!c1:c800")&amp;INDIRECT("Pianificazione!a1:a800"),0)),"hh:mm"),"")="-","Riposo",IFERROR(TEXT(INDEX(INDIRECT("Pianificazione!e1:e800"),MATCH($A17&amp;C$1,INDIRECT("Pianificazione!c1:c800")&amp;INDIRECT("Pianificazione!a1:a800"),0)),"hh:mm"),"")&amp;"-"&amp;IFERROR(TEXT(INDEX(INDIRECT("Pianificazione!f1:f800"),MATCH($A17&amp;C$1,INDIRECT("Pianificazione!c1:c800")&amp;INDIRECT("Pianificazione!a1:a800"),0)),"hh:mm"),""))</f>
        <v>Riposo</v>
      </c>
      <c r="D17" s="15" t="str" cm="1">
        <f t="array" aca="1" ref="D17" ca="1">+IF(IFERROR(TEXT(INDEX(INDIRECT("Pianificazione!e1:e800"),MATCH($A17&amp;D$1,INDIRECT("Pianificazione!c1:c800")&amp;INDIRECT("Pianificazione!a1:a800"),0)),"hh:mm"),"")&amp;"-"&amp;IFERROR(TEXT(INDEX(INDIRECT("Pianificazione!f1:f800"),MATCH($A17&amp;D$1,INDIRECT("Pianificazione!c1:c800")&amp;INDIRECT("Pianificazione!a1:a800"),0)),"hh:mm"),"")="-","Riposo",IFERROR(TEXT(INDEX(INDIRECT("Pianificazione!e1:e800"),MATCH($A17&amp;D$1,INDIRECT("Pianificazione!c1:c800")&amp;INDIRECT("Pianificazione!a1:a800"),0)),"hh:mm"),"")&amp;"-"&amp;IFERROR(TEXT(INDEX(INDIRECT("Pianificazione!f1:f800"),MATCH($A17&amp;D$1,INDIRECT("Pianificazione!c1:c800")&amp;INDIRECT("Pianificazione!a1:a800"),0)),"hh:mm"),""))</f>
        <v>Riposo</v>
      </c>
      <c r="E17" s="15" t="str" cm="1">
        <f t="array" aca="1" ref="E17" ca="1">+IF(IFERROR(TEXT(INDEX(INDIRECT("Pianificazione!e1:e800"),MATCH($A17&amp;E$1,INDIRECT("Pianificazione!c1:c800")&amp;INDIRECT("Pianificazione!a1:a800"),0)),"hh:mm"),"")&amp;"-"&amp;IFERROR(TEXT(INDEX(INDIRECT("Pianificazione!f1:f800"),MATCH($A17&amp;E$1,INDIRECT("Pianificazione!c1:c800")&amp;INDIRECT("Pianificazione!a1:a800"),0)),"hh:mm"),"")="-","Riposo",IFERROR(TEXT(INDEX(INDIRECT("Pianificazione!e1:e800"),MATCH($A17&amp;E$1,INDIRECT("Pianificazione!c1:c800")&amp;INDIRECT("Pianificazione!a1:a800"),0)),"hh:mm"),"")&amp;"-"&amp;IFERROR(TEXT(INDEX(INDIRECT("Pianificazione!f1:f800"),MATCH($A17&amp;E$1,INDIRECT("Pianificazione!c1:c800")&amp;INDIRECT("Pianificazione!a1:a800"),0)),"hh:mm"),""))</f>
        <v>Riposo</v>
      </c>
      <c r="F17" s="15" t="str" cm="1">
        <f t="array" aca="1" ref="F17" ca="1">+IF(IFERROR(TEXT(INDEX(INDIRECT("Pianificazione!e1:e800"),MATCH($A17&amp;F$1,INDIRECT("Pianificazione!c1:c800")&amp;INDIRECT("Pianificazione!a1:a800"),0)),"hh:mm"),"")&amp;"-"&amp;IFERROR(TEXT(INDEX(INDIRECT("Pianificazione!f1:f800"),MATCH($A17&amp;F$1,INDIRECT("Pianificazione!c1:c800")&amp;INDIRECT("Pianificazione!a1:a800"),0)),"hh:mm"),"")="-","Riposo",IFERROR(TEXT(INDEX(INDIRECT("Pianificazione!e1:e800"),MATCH($A17&amp;F$1,INDIRECT("Pianificazione!c1:c800")&amp;INDIRECT("Pianificazione!a1:a800"),0)),"hh:mm"),"")&amp;"-"&amp;IFERROR(TEXT(INDEX(INDIRECT("Pianificazione!f1:f800"),MATCH($A17&amp;F$1,INDIRECT("Pianificazione!c1:c800")&amp;INDIRECT("Pianificazione!a1:a800"),0)),"hh:mm"),""))</f>
        <v>Riposo</v>
      </c>
      <c r="G17" s="15" t="str" cm="1">
        <f t="array" aca="1" ref="G17" ca="1">+IF(IFERROR(TEXT(INDEX(INDIRECT("Pianificazione!e1:e800"),MATCH($A17&amp;G$1,INDIRECT("Pianificazione!c1:c800")&amp;INDIRECT("Pianificazione!a1:a800"),0)),"hh:mm"),"")&amp;"-"&amp;IFERROR(TEXT(INDEX(INDIRECT("Pianificazione!f1:f800"),MATCH($A17&amp;G$1,INDIRECT("Pianificazione!c1:c800")&amp;INDIRECT("Pianificazione!a1:a800"),0)),"hh:mm"),"")="-","Riposo",IFERROR(TEXT(INDEX(INDIRECT("Pianificazione!e1:e800"),MATCH($A17&amp;G$1,INDIRECT("Pianificazione!c1:c800")&amp;INDIRECT("Pianificazione!a1:a800"),0)),"hh:mm"),"")&amp;"-"&amp;IFERROR(TEXT(INDEX(INDIRECT("Pianificazione!f1:f800"),MATCH($A17&amp;G$1,INDIRECT("Pianificazione!c1:c800")&amp;INDIRECT("Pianificazione!a1:a800"),0)),"hh:mm"),""))</f>
        <v>Riposo</v>
      </c>
      <c r="H17" s="15" t="str" cm="1">
        <f t="array" aca="1" ref="H17" ca="1">+IF(IFERROR(TEXT(INDEX(INDIRECT("Pianificazione!e1:e800"),MATCH($A17&amp;H$1,INDIRECT("Pianificazione!c1:c800")&amp;INDIRECT("Pianificazione!a1:a800"),0)),"hh:mm"),"")&amp;"-"&amp;IFERROR(TEXT(INDEX(INDIRECT("Pianificazione!f1:f800"),MATCH($A17&amp;H$1,INDIRECT("Pianificazione!c1:c800")&amp;INDIRECT("Pianificazione!a1:a800"),0)),"hh:mm"),"")="-","Riposo",IFERROR(TEXT(INDEX(INDIRECT("Pianificazione!e1:e800"),MATCH($A17&amp;H$1,INDIRECT("Pianificazione!c1:c800")&amp;INDIRECT("Pianificazione!a1:a800"),0)),"hh:mm"),"")&amp;"-"&amp;IFERROR(TEXT(INDEX(INDIRECT("Pianificazione!f1:f800"),MATCH($A17&amp;H$1,INDIRECT("Pianificazione!c1:c800")&amp;INDIRECT("Pianificazione!a1:a800"),0)),"hh:mm"),""))</f>
        <v>Riposo</v>
      </c>
      <c r="J17" s="4">
        <v>1</v>
      </c>
    </row>
    <row r="18" spans="1:10">
      <c r="A18" t="str">
        <f>+Risorse!B18</f>
        <v>Cardile Angela</v>
      </c>
      <c r="B18" s="15" t="str" cm="1">
        <f t="array" aca="1" ref="B18" ca="1">+IF(IFERROR(TEXT(INDEX(INDIRECT("Pianificazione!e1:e800"),MATCH($A18&amp;B$1,INDIRECT("Pianificazione!c1:c800")&amp;INDIRECT("Pianificazione!a1:a800"),0)),"hh:mm"),"")&amp;"-"&amp;IFERROR(TEXT(INDEX(INDIRECT("Pianificazione!f1:f800"),MATCH($A18&amp;B$1,INDIRECT("Pianificazione!c1:c800")&amp;INDIRECT("Pianificazione!a1:a800"),0)),"hh:mm"),"")="-","Riposo",IFERROR(TEXT(INDEX(INDIRECT("Pianificazione!e1:e800"),MATCH($A18&amp;B$1,INDIRECT("Pianificazione!c1:c800")&amp;INDIRECT("Pianificazione!a1:a800"),0)),"hh:mm"),"")&amp;"-"&amp;IFERROR(TEXT(INDEX(INDIRECT("Pianificazione!f1:f800"),MATCH($A18&amp;B$1,INDIRECT("Pianificazione!c1:c800")&amp;INDIRECT("Pianificazione!a1:a800"),0)),"hh:mm"),""))</f>
        <v>Riposo</v>
      </c>
      <c r="C18" s="15" t="str" cm="1">
        <f t="array" aca="1" ref="C18" ca="1">+IF(IFERROR(TEXT(INDEX(INDIRECT("Pianificazione!e1:e800"),MATCH($A18&amp;C$1,INDIRECT("Pianificazione!c1:c800")&amp;INDIRECT("Pianificazione!a1:a800"),0)),"hh:mm"),"")&amp;"-"&amp;IFERROR(TEXT(INDEX(INDIRECT("Pianificazione!f1:f800"),MATCH($A18&amp;C$1,INDIRECT("Pianificazione!c1:c800")&amp;INDIRECT("Pianificazione!a1:a800"),0)),"hh:mm"),"")="-","Riposo",IFERROR(TEXT(INDEX(INDIRECT("Pianificazione!e1:e800"),MATCH($A18&amp;C$1,INDIRECT("Pianificazione!c1:c800")&amp;INDIRECT("Pianificazione!a1:a800"),0)),"hh:mm"),"")&amp;"-"&amp;IFERROR(TEXT(INDEX(INDIRECT("Pianificazione!f1:f800"),MATCH($A18&amp;C$1,INDIRECT("Pianificazione!c1:c800")&amp;INDIRECT("Pianificazione!a1:a800"),0)),"hh:mm"),""))</f>
        <v>Riposo</v>
      </c>
      <c r="D18" s="15" t="str" cm="1">
        <f t="array" aca="1" ref="D18" ca="1">+IF(IFERROR(TEXT(INDEX(INDIRECT("Pianificazione!e1:e800"),MATCH($A18&amp;D$1,INDIRECT("Pianificazione!c1:c800")&amp;INDIRECT("Pianificazione!a1:a800"),0)),"hh:mm"),"")&amp;"-"&amp;IFERROR(TEXT(INDEX(INDIRECT("Pianificazione!f1:f800"),MATCH($A18&amp;D$1,INDIRECT("Pianificazione!c1:c800")&amp;INDIRECT("Pianificazione!a1:a800"),0)),"hh:mm"),"")="-","Riposo",IFERROR(TEXT(INDEX(INDIRECT("Pianificazione!e1:e800"),MATCH($A18&amp;D$1,INDIRECT("Pianificazione!c1:c800")&amp;INDIRECT("Pianificazione!a1:a800"),0)),"hh:mm"),"")&amp;"-"&amp;IFERROR(TEXT(INDEX(INDIRECT("Pianificazione!f1:f800"),MATCH($A18&amp;D$1,INDIRECT("Pianificazione!c1:c800")&amp;INDIRECT("Pianificazione!a1:a800"),0)),"hh:mm"),""))</f>
        <v>Riposo</v>
      </c>
      <c r="E18" s="15" t="str" cm="1">
        <f t="array" aca="1" ref="E18" ca="1">+IF(IFERROR(TEXT(INDEX(INDIRECT("Pianificazione!e1:e800"),MATCH($A18&amp;E$1,INDIRECT("Pianificazione!c1:c800")&amp;INDIRECT("Pianificazione!a1:a800"),0)),"hh:mm"),"")&amp;"-"&amp;IFERROR(TEXT(INDEX(INDIRECT("Pianificazione!f1:f800"),MATCH($A18&amp;E$1,INDIRECT("Pianificazione!c1:c800")&amp;INDIRECT("Pianificazione!a1:a800"),0)),"hh:mm"),"")="-","Riposo",IFERROR(TEXT(INDEX(INDIRECT("Pianificazione!e1:e800"),MATCH($A18&amp;E$1,INDIRECT("Pianificazione!c1:c800")&amp;INDIRECT("Pianificazione!a1:a800"),0)),"hh:mm"),"")&amp;"-"&amp;IFERROR(TEXT(INDEX(INDIRECT("Pianificazione!f1:f800"),MATCH($A18&amp;E$1,INDIRECT("Pianificazione!c1:c800")&amp;INDIRECT("Pianificazione!a1:a800"),0)),"hh:mm"),""))</f>
        <v>Riposo</v>
      </c>
      <c r="F18" s="15" t="str" cm="1">
        <f t="array" aca="1" ref="F18" ca="1">+IF(IFERROR(TEXT(INDEX(INDIRECT("Pianificazione!e1:e800"),MATCH($A18&amp;F$1,INDIRECT("Pianificazione!c1:c800")&amp;INDIRECT("Pianificazione!a1:a800"),0)),"hh:mm"),"")&amp;"-"&amp;IFERROR(TEXT(INDEX(INDIRECT("Pianificazione!f1:f800"),MATCH($A18&amp;F$1,INDIRECT("Pianificazione!c1:c800")&amp;INDIRECT("Pianificazione!a1:a800"),0)),"hh:mm"),"")="-","Riposo",IFERROR(TEXT(INDEX(INDIRECT("Pianificazione!e1:e800"),MATCH($A18&amp;F$1,INDIRECT("Pianificazione!c1:c800")&amp;INDIRECT("Pianificazione!a1:a800"),0)),"hh:mm"),"")&amp;"-"&amp;IFERROR(TEXT(INDEX(INDIRECT("Pianificazione!f1:f800"),MATCH($A18&amp;F$1,INDIRECT("Pianificazione!c1:c800")&amp;INDIRECT("Pianificazione!a1:a800"),0)),"hh:mm"),""))</f>
        <v>Riposo</v>
      </c>
      <c r="G18" s="15" t="str" cm="1">
        <f t="array" aca="1" ref="G18" ca="1">+IF(IFERROR(TEXT(INDEX(INDIRECT("Pianificazione!e1:e800"),MATCH($A18&amp;G$1,INDIRECT("Pianificazione!c1:c800")&amp;INDIRECT("Pianificazione!a1:a800"),0)),"hh:mm"),"")&amp;"-"&amp;IFERROR(TEXT(INDEX(INDIRECT("Pianificazione!f1:f800"),MATCH($A18&amp;G$1,INDIRECT("Pianificazione!c1:c800")&amp;INDIRECT("Pianificazione!a1:a800"),0)),"hh:mm"),"")="-","Riposo",IFERROR(TEXT(INDEX(INDIRECT("Pianificazione!e1:e800"),MATCH($A18&amp;G$1,INDIRECT("Pianificazione!c1:c800")&amp;INDIRECT("Pianificazione!a1:a800"),0)),"hh:mm"),"")&amp;"-"&amp;IFERROR(TEXT(INDEX(INDIRECT("Pianificazione!f1:f800"),MATCH($A18&amp;G$1,INDIRECT("Pianificazione!c1:c800")&amp;INDIRECT("Pianificazione!a1:a800"),0)),"hh:mm"),""))</f>
        <v>Riposo</v>
      </c>
      <c r="H18" s="15" t="str" cm="1">
        <f t="array" aca="1" ref="H18" ca="1">+IF(IFERROR(TEXT(INDEX(INDIRECT("Pianificazione!e1:e800"),MATCH($A18&amp;H$1,INDIRECT("Pianificazione!c1:c800")&amp;INDIRECT("Pianificazione!a1:a800"),0)),"hh:mm"),"")&amp;"-"&amp;IFERROR(TEXT(INDEX(INDIRECT("Pianificazione!f1:f800"),MATCH($A18&amp;H$1,INDIRECT("Pianificazione!c1:c800")&amp;INDIRECT("Pianificazione!a1:a800"),0)),"hh:mm"),"")="-","Riposo",IFERROR(TEXT(INDEX(INDIRECT("Pianificazione!e1:e800"),MATCH($A18&amp;H$1,INDIRECT("Pianificazione!c1:c800")&amp;INDIRECT("Pianificazione!a1:a800"),0)),"hh:mm"),"")&amp;"-"&amp;IFERROR(TEXT(INDEX(INDIRECT("Pianificazione!f1:f800"),MATCH($A18&amp;H$1,INDIRECT("Pianificazione!c1:c800")&amp;INDIRECT("Pianificazione!a1:a800"),0)),"hh:mm"),""))</f>
        <v>Riposo</v>
      </c>
      <c r="J18" s="4">
        <v>1</v>
      </c>
    </row>
    <row r="19" spans="1:10">
      <c r="A19" t="str">
        <f>+Risorse!B19</f>
        <v>Celia Antonella</v>
      </c>
      <c r="B19" s="15" t="str" cm="1">
        <f t="array" aca="1" ref="B19" ca="1">+IF(IFERROR(TEXT(INDEX(INDIRECT("Pianificazione!e1:e800"),MATCH($A19&amp;B$1,INDIRECT("Pianificazione!c1:c800")&amp;INDIRECT("Pianificazione!a1:a800"),0)),"hh:mm"),"")&amp;"-"&amp;IFERROR(TEXT(INDEX(INDIRECT("Pianificazione!f1:f800"),MATCH($A19&amp;B$1,INDIRECT("Pianificazione!c1:c800")&amp;INDIRECT("Pianificazione!a1:a800"),0)),"hh:mm"),"")="-","Riposo",IFERROR(TEXT(INDEX(INDIRECT("Pianificazione!e1:e800"),MATCH($A19&amp;B$1,INDIRECT("Pianificazione!c1:c800")&amp;INDIRECT("Pianificazione!a1:a800"),0)),"hh:mm"),"")&amp;"-"&amp;IFERROR(TEXT(INDEX(INDIRECT("Pianificazione!f1:f800"),MATCH($A19&amp;B$1,INDIRECT("Pianificazione!c1:c800")&amp;INDIRECT("Pianificazione!a1:a800"),0)),"hh:mm"),""))</f>
        <v>Riposo</v>
      </c>
      <c r="C19" s="15" t="str" cm="1">
        <f t="array" aca="1" ref="C19" ca="1">+IF(IFERROR(TEXT(INDEX(INDIRECT("Pianificazione!e1:e800"),MATCH($A19&amp;C$1,INDIRECT("Pianificazione!c1:c800")&amp;INDIRECT("Pianificazione!a1:a800"),0)),"hh:mm"),"")&amp;"-"&amp;IFERROR(TEXT(INDEX(INDIRECT("Pianificazione!f1:f800"),MATCH($A19&amp;C$1,INDIRECT("Pianificazione!c1:c800")&amp;INDIRECT("Pianificazione!a1:a800"),0)),"hh:mm"),"")="-","Riposo",IFERROR(TEXT(INDEX(INDIRECT("Pianificazione!e1:e800"),MATCH($A19&amp;C$1,INDIRECT("Pianificazione!c1:c800")&amp;INDIRECT("Pianificazione!a1:a800"),0)),"hh:mm"),"")&amp;"-"&amp;IFERROR(TEXT(INDEX(INDIRECT("Pianificazione!f1:f800"),MATCH($A19&amp;C$1,INDIRECT("Pianificazione!c1:c800")&amp;INDIRECT("Pianificazione!a1:a800"),0)),"hh:mm"),""))</f>
        <v>Riposo</v>
      </c>
      <c r="D19" s="15" t="str" cm="1">
        <f t="array" aca="1" ref="D19" ca="1">+IF(IFERROR(TEXT(INDEX(INDIRECT("Pianificazione!e1:e800"),MATCH($A19&amp;D$1,INDIRECT("Pianificazione!c1:c800")&amp;INDIRECT("Pianificazione!a1:a800"),0)),"hh:mm"),"")&amp;"-"&amp;IFERROR(TEXT(INDEX(INDIRECT("Pianificazione!f1:f800"),MATCH($A19&amp;D$1,INDIRECT("Pianificazione!c1:c800")&amp;INDIRECT("Pianificazione!a1:a800"),0)),"hh:mm"),"")="-","Riposo",IFERROR(TEXT(INDEX(INDIRECT("Pianificazione!e1:e800"),MATCH($A19&amp;D$1,INDIRECT("Pianificazione!c1:c800")&amp;INDIRECT("Pianificazione!a1:a800"),0)),"hh:mm"),"")&amp;"-"&amp;IFERROR(TEXT(INDEX(INDIRECT("Pianificazione!f1:f800"),MATCH($A19&amp;D$1,INDIRECT("Pianificazione!c1:c800")&amp;INDIRECT("Pianificazione!a1:a800"),0)),"hh:mm"),""))</f>
        <v>Riposo</v>
      </c>
      <c r="E19" s="15" t="str" cm="1">
        <f t="array" aca="1" ref="E19" ca="1">+IF(IFERROR(TEXT(INDEX(INDIRECT("Pianificazione!e1:e800"),MATCH($A19&amp;E$1,INDIRECT("Pianificazione!c1:c800")&amp;INDIRECT("Pianificazione!a1:a800"),0)),"hh:mm"),"")&amp;"-"&amp;IFERROR(TEXT(INDEX(INDIRECT("Pianificazione!f1:f800"),MATCH($A19&amp;E$1,INDIRECT("Pianificazione!c1:c800")&amp;INDIRECT("Pianificazione!a1:a800"),0)),"hh:mm"),"")="-","Riposo",IFERROR(TEXT(INDEX(INDIRECT("Pianificazione!e1:e800"),MATCH($A19&amp;E$1,INDIRECT("Pianificazione!c1:c800")&amp;INDIRECT("Pianificazione!a1:a800"),0)),"hh:mm"),"")&amp;"-"&amp;IFERROR(TEXT(INDEX(INDIRECT("Pianificazione!f1:f800"),MATCH($A19&amp;E$1,INDIRECT("Pianificazione!c1:c800")&amp;INDIRECT("Pianificazione!a1:a800"),0)),"hh:mm"),""))</f>
        <v>Riposo</v>
      </c>
      <c r="F19" s="15" t="str" cm="1">
        <f t="array" aca="1" ref="F19" ca="1">+IF(IFERROR(TEXT(INDEX(INDIRECT("Pianificazione!e1:e800"),MATCH($A19&amp;F$1,INDIRECT("Pianificazione!c1:c800")&amp;INDIRECT("Pianificazione!a1:a800"),0)),"hh:mm"),"")&amp;"-"&amp;IFERROR(TEXT(INDEX(INDIRECT("Pianificazione!f1:f800"),MATCH($A19&amp;F$1,INDIRECT("Pianificazione!c1:c800")&amp;INDIRECT("Pianificazione!a1:a800"),0)),"hh:mm"),"")="-","Riposo",IFERROR(TEXT(INDEX(INDIRECT("Pianificazione!e1:e800"),MATCH($A19&amp;F$1,INDIRECT("Pianificazione!c1:c800")&amp;INDIRECT("Pianificazione!a1:a800"),0)),"hh:mm"),"")&amp;"-"&amp;IFERROR(TEXT(INDEX(INDIRECT("Pianificazione!f1:f800"),MATCH($A19&amp;F$1,INDIRECT("Pianificazione!c1:c800")&amp;INDIRECT("Pianificazione!a1:a800"),0)),"hh:mm"),""))</f>
        <v>Riposo</v>
      </c>
      <c r="G19" s="15" t="str" cm="1">
        <f t="array" aca="1" ref="G19" ca="1">+IF(IFERROR(TEXT(INDEX(INDIRECT("Pianificazione!e1:e800"),MATCH($A19&amp;G$1,INDIRECT("Pianificazione!c1:c800")&amp;INDIRECT("Pianificazione!a1:a800"),0)),"hh:mm"),"")&amp;"-"&amp;IFERROR(TEXT(INDEX(INDIRECT("Pianificazione!f1:f800"),MATCH($A19&amp;G$1,INDIRECT("Pianificazione!c1:c800")&amp;INDIRECT("Pianificazione!a1:a800"),0)),"hh:mm"),"")="-","Riposo",IFERROR(TEXT(INDEX(INDIRECT("Pianificazione!e1:e800"),MATCH($A19&amp;G$1,INDIRECT("Pianificazione!c1:c800")&amp;INDIRECT("Pianificazione!a1:a800"),0)),"hh:mm"),"")&amp;"-"&amp;IFERROR(TEXT(INDEX(INDIRECT("Pianificazione!f1:f800"),MATCH($A19&amp;G$1,INDIRECT("Pianificazione!c1:c800")&amp;INDIRECT("Pianificazione!a1:a800"),0)),"hh:mm"),""))</f>
        <v>Riposo</v>
      </c>
      <c r="H19" s="15" t="str" cm="1">
        <f t="array" aca="1" ref="H19" ca="1">+IF(IFERROR(TEXT(INDEX(INDIRECT("Pianificazione!e1:e800"),MATCH($A19&amp;H$1,INDIRECT("Pianificazione!c1:c800")&amp;INDIRECT("Pianificazione!a1:a800"),0)),"hh:mm"),"")&amp;"-"&amp;IFERROR(TEXT(INDEX(INDIRECT("Pianificazione!f1:f800"),MATCH($A19&amp;H$1,INDIRECT("Pianificazione!c1:c800")&amp;INDIRECT("Pianificazione!a1:a800"),0)),"hh:mm"),"")="-","Riposo",IFERROR(TEXT(INDEX(INDIRECT("Pianificazione!e1:e800"),MATCH($A19&amp;H$1,INDIRECT("Pianificazione!c1:c800")&amp;INDIRECT("Pianificazione!a1:a800"),0)),"hh:mm"),"")&amp;"-"&amp;IFERROR(TEXT(INDEX(INDIRECT("Pianificazione!f1:f800"),MATCH($A19&amp;H$1,INDIRECT("Pianificazione!c1:c800")&amp;INDIRECT("Pianificazione!a1:a800"),0)),"hh:mm"),""))</f>
        <v>Riposo</v>
      </c>
      <c r="J19" s="4">
        <v>1</v>
      </c>
    </row>
    <row r="20" spans="1:10">
      <c r="A20" t="str">
        <f>+Risorse!B20</f>
        <v>Ciaramitaro Giuseppa</v>
      </c>
      <c r="B20" s="15" t="str" cm="1">
        <f t="array" aca="1" ref="B20" ca="1">+IF(IFERROR(TEXT(INDEX(INDIRECT("Pianificazione!e1:e800"),MATCH($A20&amp;B$1,INDIRECT("Pianificazione!c1:c800")&amp;INDIRECT("Pianificazione!a1:a800"),0)),"hh:mm"),"")&amp;"-"&amp;IFERROR(TEXT(INDEX(INDIRECT("Pianificazione!f1:f800"),MATCH($A20&amp;B$1,INDIRECT("Pianificazione!c1:c800")&amp;INDIRECT("Pianificazione!a1:a800"),0)),"hh:mm"),"")="-","Riposo",IFERROR(TEXT(INDEX(INDIRECT("Pianificazione!e1:e800"),MATCH($A20&amp;B$1,INDIRECT("Pianificazione!c1:c800")&amp;INDIRECT("Pianificazione!a1:a800"),0)),"hh:mm"),"")&amp;"-"&amp;IFERROR(TEXT(INDEX(INDIRECT("Pianificazione!f1:f800"),MATCH($A20&amp;B$1,INDIRECT("Pianificazione!c1:c800")&amp;INDIRECT("Pianificazione!a1:a800"),0)),"hh:mm"),""))</f>
        <v>Riposo</v>
      </c>
      <c r="C20" s="15" t="str" cm="1">
        <f t="array" aca="1" ref="C20" ca="1">+IF(IFERROR(TEXT(INDEX(INDIRECT("Pianificazione!e1:e800"),MATCH($A20&amp;C$1,INDIRECT("Pianificazione!c1:c800")&amp;INDIRECT("Pianificazione!a1:a800"),0)),"hh:mm"),"")&amp;"-"&amp;IFERROR(TEXT(INDEX(INDIRECT("Pianificazione!f1:f800"),MATCH($A20&amp;C$1,INDIRECT("Pianificazione!c1:c800")&amp;INDIRECT("Pianificazione!a1:a800"),0)),"hh:mm"),"")="-","Riposo",IFERROR(TEXT(INDEX(INDIRECT("Pianificazione!e1:e800"),MATCH($A20&amp;C$1,INDIRECT("Pianificazione!c1:c800")&amp;INDIRECT("Pianificazione!a1:a800"),0)),"hh:mm"),"")&amp;"-"&amp;IFERROR(TEXT(INDEX(INDIRECT("Pianificazione!f1:f800"),MATCH($A20&amp;C$1,INDIRECT("Pianificazione!c1:c800")&amp;INDIRECT("Pianificazione!a1:a800"),0)),"hh:mm"),""))</f>
        <v>Riposo</v>
      </c>
      <c r="D20" s="15" t="str" cm="1">
        <f t="array" aca="1" ref="D20" ca="1">+IF(IFERROR(TEXT(INDEX(INDIRECT("Pianificazione!e1:e800"),MATCH($A20&amp;D$1,INDIRECT("Pianificazione!c1:c800")&amp;INDIRECT("Pianificazione!a1:a800"),0)),"hh:mm"),"")&amp;"-"&amp;IFERROR(TEXT(INDEX(INDIRECT("Pianificazione!f1:f800"),MATCH($A20&amp;D$1,INDIRECT("Pianificazione!c1:c800")&amp;INDIRECT("Pianificazione!a1:a800"),0)),"hh:mm"),"")="-","Riposo",IFERROR(TEXT(INDEX(INDIRECT("Pianificazione!e1:e800"),MATCH($A20&amp;D$1,INDIRECT("Pianificazione!c1:c800")&amp;INDIRECT("Pianificazione!a1:a800"),0)),"hh:mm"),"")&amp;"-"&amp;IFERROR(TEXT(INDEX(INDIRECT("Pianificazione!f1:f800"),MATCH($A20&amp;D$1,INDIRECT("Pianificazione!c1:c800")&amp;INDIRECT("Pianificazione!a1:a800"),0)),"hh:mm"),""))</f>
        <v>Riposo</v>
      </c>
      <c r="E20" s="15" t="str" cm="1">
        <f t="array" aca="1" ref="E20" ca="1">+IF(IFERROR(TEXT(INDEX(INDIRECT("Pianificazione!e1:e800"),MATCH($A20&amp;E$1,INDIRECT("Pianificazione!c1:c800")&amp;INDIRECT("Pianificazione!a1:a800"),0)),"hh:mm"),"")&amp;"-"&amp;IFERROR(TEXT(INDEX(INDIRECT("Pianificazione!f1:f800"),MATCH($A20&amp;E$1,INDIRECT("Pianificazione!c1:c800")&amp;INDIRECT("Pianificazione!a1:a800"),0)),"hh:mm"),"")="-","Riposo",IFERROR(TEXT(INDEX(INDIRECT("Pianificazione!e1:e800"),MATCH($A20&amp;E$1,INDIRECT("Pianificazione!c1:c800")&amp;INDIRECT("Pianificazione!a1:a800"),0)),"hh:mm"),"")&amp;"-"&amp;IFERROR(TEXT(INDEX(INDIRECT("Pianificazione!f1:f800"),MATCH($A20&amp;E$1,INDIRECT("Pianificazione!c1:c800")&amp;INDIRECT("Pianificazione!a1:a800"),0)),"hh:mm"),""))</f>
        <v>Riposo</v>
      </c>
      <c r="F20" s="15" t="str" cm="1">
        <f t="array" aca="1" ref="F20" ca="1">+IF(IFERROR(TEXT(INDEX(INDIRECT("Pianificazione!e1:e800"),MATCH($A20&amp;F$1,INDIRECT("Pianificazione!c1:c800")&amp;INDIRECT("Pianificazione!a1:a800"),0)),"hh:mm"),"")&amp;"-"&amp;IFERROR(TEXT(INDEX(INDIRECT("Pianificazione!f1:f800"),MATCH($A20&amp;F$1,INDIRECT("Pianificazione!c1:c800")&amp;INDIRECT("Pianificazione!a1:a800"),0)),"hh:mm"),"")="-","Riposo",IFERROR(TEXT(INDEX(INDIRECT("Pianificazione!e1:e800"),MATCH($A20&amp;F$1,INDIRECT("Pianificazione!c1:c800")&amp;INDIRECT("Pianificazione!a1:a800"),0)),"hh:mm"),"")&amp;"-"&amp;IFERROR(TEXT(INDEX(INDIRECT("Pianificazione!f1:f800"),MATCH($A20&amp;F$1,INDIRECT("Pianificazione!c1:c800")&amp;INDIRECT("Pianificazione!a1:a800"),0)),"hh:mm"),""))</f>
        <v>Riposo</v>
      </c>
      <c r="G20" s="15" t="str" cm="1">
        <f t="array" aca="1" ref="G20" ca="1">+IF(IFERROR(TEXT(INDEX(INDIRECT("Pianificazione!e1:e800"),MATCH($A20&amp;G$1,INDIRECT("Pianificazione!c1:c800")&amp;INDIRECT("Pianificazione!a1:a800"),0)),"hh:mm"),"")&amp;"-"&amp;IFERROR(TEXT(INDEX(INDIRECT("Pianificazione!f1:f800"),MATCH($A20&amp;G$1,INDIRECT("Pianificazione!c1:c800")&amp;INDIRECT("Pianificazione!a1:a800"),0)),"hh:mm"),"")="-","Riposo",IFERROR(TEXT(INDEX(INDIRECT("Pianificazione!e1:e800"),MATCH($A20&amp;G$1,INDIRECT("Pianificazione!c1:c800")&amp;INDIRECT("Pianificazione!a1:a800"),0)),"hh:mm"),"")&amp;"-"&amp;IFERROR(TEXT(INDEX(INDIRECT("Pianificazione!f1:f800"),MATCH($A20&amp;G$1,INDIRECT("Pianificazione!c1:c800")&amp;INDIRECT("Pianificazione!a1:a800"),0)),"hh:mm"),""))</f>
        <v>Riposo</v>
      </c>
      <c r="H20" s="15" t="str" cm="1">
        <f t="array" aca="1" ref="H20" ca="1">+IF(IFERROR(TEXT(INDEX(INDIRECT("Pianificazione!e1:e800"),MATCH($A20&amp;H$1,INDIRECT("Pianificazione!c1:c800")&amp;INDIRECT("Pianificazione!a1:a800"),0)),"hh:mm"),"")&amp;"-"&amp;IFERROR(TEXT(INDEX(INDIRECT("Pianificazione!f1:f800"),MATCH($A20&amp;H$1,INDIRECT("Pianificazione!c1:c800")&amp;INDIRECT("Pianificazione!a1:a800"),0)),"hh:mm"),"")="-","Riposo",IFERROR(TEXT(INDEX(INDIRECT("Pianificazione!e1:e800"),MATCH($A20&amp;H$1,INDIRECT("Pianificazione!c1:c800")&amp;INDIRECT("Pianificazione!a1:a800"),0)),"hh:mm"),"")&amp;"-"&amp;IFERROR(TEXT(INDEX(INDIRECT("Pianificazione!f1:f800"),MATCH($A20&amp;H$1,INDIRECT("Pianificazione!c1:c800")&amp;INDIRECT("Pianificazione!a1:a800"),0)),"hh:mm"),""))</f>
        <v>Riposo</v>
      </c>
      <c r="J20" s="4">
        <v>1</v>
      </c>
    </row>
    <row r="21" spans="1:10">
      <c r="A21" t="str">
        <f>+Risorse!B21</f>
        <v>Cipriano Giovanna</v>
      </c>
      <c r="B21" s="15" t="str" cm="1">
        <f t="array" aca="1" ref="B21" ca="1">+IF(IFERROR(TEXT(INDEX(INDIRECT("Pianificazione!e1:e800"),MATCH($A21&amp;B$1,INDIRECT("Pianificazione!c1:c800")&amp;INDIRECT("Pianificazione!a1:a800"),0)),"hh:mm"),"")&amp;"-"&amp;IFERROR(TEXT(INDEX(INDIRECT("Pianificazione!f1:f800"),MATCH($A21&amp;B$1,INDIRECT("Pianificazione!c1:c800")&amp;INDIRECT("Pianificazione!a1:a800"),0)),"hh:mm"),"")="-","Riposo",IFERROR(TEXT(INDEX(INDIRECT("Pianificazione!e1:e800"),MATCH($A21&amp;B$1,INDIRECT("Pianificazione!c1:c800")&amp;INDIRECT("Pianificazione!a1:a800"),0)),"hh:mm"),"")&amp;"-"&amp;IFERROR(TEXT(INDEX(INDIRECT("Pianificazione!f1:f800"),MATCH($A21&amp;B$1,INDIRECT("Pianificazione!c1:c800")&amp;INDIRECT("Pianificazione!a1:a800"),0)),"hh:mm"),""))</f>
        <v>Riposo</v>
      </c>
      <c r="C21" s="15" t="str" cm="1">
        <f t="array" aca="1" ref="C21" ca="1">+IF(IFERROR(TEXT(INDEX(INDIRECT("Pianificazione!e1:e800"),MATCH($A21&amp;C$1,INDIRECT("Pianificazione!c1:c800")&amp;INDIRECT("Pianificazione!a1:a800"),0)),"hh:mm"),"")&amp;"-"&amp;IFERROR(TEXT(INDEX(INDIRECT("Pianificazione!f1:f800"),MATCH($A21&amp;C$1,INDIRECT("Pianificazione!c1:c800")&amp;INDIRECT("Pianificazione!a1:a800"),0)),"hh:mm"),"")="-","Riposo",IFERROR(TEXT(INDEX(INDIRECT("Pianificazione!e1:e800"),MATCH($A21&amp;C$1,INDIRECT("Pianificazione!c1:c800")&amp;INDIRECT("Pianificazione!a1:a800"),0)),"hh:mm"),"")&amp;"-"&amp;IFERROR(TEXT(INDEX(INDIRECT("Pianificazione!f1:f800"),MATCH($A21&amp;C$1,INDIRECT("Pianificazione!c1:c800")&amp;INDIRECT("Pianificazione!a1:a800"),0)),"hh:mm"),""))</f>
        <v>Riposo</v>
      </c>
      <c r="D21" s="15" t="str" cm="1">
        <f t="array" aca="1" ref="D21" ca="1">+IF(IFERROR(TEXT(INDEX(INDIRECT("Pianificazione!e1:e800"),MATCH($A21&amp;D$1,INDIRECT("Pianificazione!c1:c800")&amp;INDIRECT("Pianificazione!a1:a800"),0)),"hh:mm"),"")&amp;"-"&amp;IFERROR(TEXT(INDEX(INDIRECT("Pianificazione!f1:f800"),MATCH($A21&amp;D$1,INDIRECT("Pianificazione!c1:c800")&amp;INDIRECT("Pianificazione!a1:a800"),0)),"hh:mm"),"")="-","Riposo",IFERROR(TEXT(INDEX(INDIRECT("Pianificazione!e1:e800"),MATCH($A21&amp;D$1,INDIRECT("Pianificazione!c1:c800")&amp;INDIRECT("Pianificazione!a1:a800"),0)),"hh:mm"),"")&amp;"-"&amp;IFERROR(TEXT(INDEX(INDIRECT("Pianificazione!f1:f800"),MATCH($A21&amp;D$1,INDIRECT("Pianificazione!c1:c800")&amp;INDIRECT("Pianificazione!a1:a800"),0)),"hh:mm"),""))</f>
        <v>Riposo</v>
      </c>
      <c r="E21" s="15" t="str" cm="1">
        <f t="array" aca="1" ref="E21" ca="1">+IF(IFERROR(TEXT(INDEX(INDIRECT("Pianificazione!e1:e800"),MATCH($A21&amp;E$1,INDIRECT("Pianificazione!c1:c800")&amp;INDIRECT("Pianificazione!a1:a800"),0)),"hh:mm"),"")&amp;"-"&amp;IFERROR(TEXT(INDEX(INDIRECT("Pianificazione!f1:f800"),MATCH($A21&amp;E$1,INDIRECT("Pianificazione!c1:c800")&amp;INDIRECT("Pianificazione!a1:a800"),0)),"hh:mm"),"")="-","Riposo",IFERROR(TEXT(INDEX(INDIRECT("Pianificazione!e1:e800"),MATCH($A21&amp;E$1,INDIRECT("Pianificazione!c1:c800")&amp;INDIRECT("Pianificazione!a1:a800"),0)),"hh:mm"),"")&amp;"-"&amp;IFERROR(TEXT(INDEX(INDIRECT("Pianificazione!f1:f800"),MATCH($A21&amp;E$1,INDIRECT("Pianificazione!c1:c800")&amp;INDIRECT("Pianificazione!a1:a800"),0)),"hh:mm"),""))</f>
        <v>Riposo</v>
      </c>
      <c r="F21" s="15" t="str" cm="1">
        <f t="array" aca="1" ref="F21" ca="1">+IF(IFERROR(TEXT(INDEX(INDIRECT("Pianificazione!e1:e800"),MATCH($A21&amp;F$1,INDIRECT("Pianificazione!c1:c800")&amp;INDIRECT("Pianificazione!a1:a800"),0)),"hh:mm"),"")&amp;"-"&amp;IFERROR(TEXT(INDEX(INDIRECT("Pianificazione!f1:f800"),MATCH($A21&amp;F$1,INDIRECT("Pianificazione!c1:c800")&amp;INDIRECT("Pianificazione!a1:a800"),0)),"hh:mm"),"")="-","Riposo",IFERROR(TEXT(INDEX(INDIRECT("Pianificazione!e1:e800"),MATCH($A21&amp;F$1,INDIRECT("Pianificazione!c1:c800")&amp;INDIRECT("Pianificazione!a1:a800"),0)),"hh:mm"),"")&amp;"-"&amp;IFERROR(TEXT(INDEX(INDIRECT("Pianificazione!f1:f800"),MATCH($A21&amp;F$1,INDIRECT("Pianificazione!c1:c800")&amp;INDIRECT("Pianificazione!a1:a800"),0)),"hh:mm"),""))</f>
        <v>Riposo</v>
      </c>
      <c r="G21" s="15" t="str" cm="1">
        <f t="array" aca="1" ref="G21" ca="1">+IF(IFERROR(TEXT(INDEX(INDIRECT("Pianificazione!e1:e800"),MATCH($A21&amp;G$1,INDIRECT("Pianificazione!c1:c800")&amp;INDIRECT("Pianificazione!a1:a800"),0)),"hh:mm"),"")&amp;"-"&amp;IFERROR(TEXT(INDEX(INDIRECT("Pianificazione!f1:f800"),MATCH($A21&amp;G$1,INDIRECT("Pianificazione!c1:c800")&amp;INDIRECT("Pianificazione!a1:a800"),0)),"hh:mm"),"")="-","Riposo",IFERROR(TEXT(INDEX(INDIRECT("Pianificazione!e1:e800"),MATCH($A21&amp;G$1,INDIRECT("Pianificazione!c1:c800")&amp;INDIRECT("Pianificazione!a1:a800"),0)),"hh:mm"),"")&amp;"-"&amp;IFERROR(TEXT(INDEX(INDIRECT("Pianificazione!f1:f800"),MATCH($A21&amp;G$1,INDIRECT("Pianificazione!c1:c800")&amp;INDIRECT("Pianificazione!a1:a800"),0)),"hh:mm"),""))</f>
        <v>Riposo</v>
      </c>
      <c r="H21" s="15" t="str" cm="1">
        <f t="array" aca="1" ref="H21" ca="1">+IF(IFERROR(TEXT(INDEX(INDIRECT("Pianificazione!e1:e800"),MATCH($A21&amp;H$1,INDIRECT("Pianificazione!c1:c800")&amp;INDIRECT("Pianificazione!a1:a800"),0)),"hh:mm"),"")&amp;"-"&amp;IFERROR(TEXT(INDEX(INDIRECT("Pianificazione!f1:f800"),MATCH($A21&amp;H$1,INDIRECT("Pianificazione!c1:c800")&amp;INDIRECT("Pianificazione!a1:a800"),0)),"hh:mm"),"")="-","Riposo",IFERROR(TEXT(INDEX(INDIRECT("Pianificazione!e1:e800"),MATCH($A21&amp;H$1,INDIRECT("Pianificazione!c1:c800")&amp;INDIRECT("Pianificazione!a1:a800"),0)),"hh:mm"),"")&amp;"-"&amp;IFERROR(TEXT(INDEX(INDIRECT("Pianificazione!f1:f800"),MATCH($A21&amp;H$1,INDIRECT("Pianificazione!c1:c800")&amp;INDIRECT("Pianificazione!a1:a800"),0)),"hh:mm"),""))</f>
        <v>Riposo</v>
      </c>
      <c r="J21" s="4">
        <v>1</v>
      </c>
    </row>
    <row r="22" spans="1:10">
      <c r="A22" t="str">
        <f>+Risorse!B22</f>
        <v>Concialdi Nicasia</v>
      </c>
      <c r="B22" s="15" t="str" cm="1">
        <f t="array" aca="1" ref="B22" ca="1">+IF(IFERROR(TEXT(INDEX(INDIRECT("Pianificazione!e1:e800"),MATCH($A22&amp;B$1,INDIRECT("Pianificazione!c1:c800")&amp;INDIRECT("Pianificazione!a1:a800"),0)),"hh:mm"),"")&amp;"-"&amp;IFERROR(TEXT(INDEX(INDIRECT("Pianificazione!f1:f800"),MATCH($A22&amp;B$1,INDIRECT("Pianificazione!c1:c800")&amp;INDIRECT("Pianificazione!a1:a800"),0)),"hh:mm"),"")="-","Riposo",IFERROR(TEXT(INDEX(INDIRECT("Pianificazione!e1:e800"),MATCH($A22&amp;B$1,INDIRECT("Pianificazione!c1:c800")&amp;INDIRECT("Pianificazione!a1:a800"),0)),"hh:mm"),"")&amp;"-"&amp;IFERROR(TEXT(INDEX(INDIRECT("Pianificazione!f1:f800"),MATCH($A22&amp;B$1,INDIRECT("Pianificazione!c1:c800")&amp;INDIRECT("Pianificazione!a1:a800"),0)),"hh:mm"),""))</f>
        <v>Riposo</v>
      </c>
      <c r="C22" s="15" t="str" cm="1">
        <f t="array" aca="1" ref="C22" ca="1">+IF(IFERROR(TEXT(INDEX(INDIRECT("Pianificazione!e1:e800"),MATCH($A22&amp;C$1,INDIRECT("Pianificazione!c1:c800")&amp;INDIRECT("Pianificazione!a1:a800"),0)),"hh:mm"),"")&amp;"-"&amp;IFERROR(TEXT(INDEX(INDIRECT("Pianificazione!f1:f800"),MATCH($A22&amp;C$1,INDIRECT("Pianificazione!c1:c800")&amp;INDIRECT("Pianificazione!a1:a800"),0)),"hh:mm"),"")="-","Riposo",IFERROR(TEXT(INDEX(INDIRECT("Pianificazione!e1:e800"),MATCH($A22&amp;C$1,INDIRECT("Pianificazione!c1:c800")&amp;INDIRECT("Pianificazione!a1:a800"),0)),"hh:mm"),"")&amp;"-"&amp;IFERROR(TEXT(INDEX(INDIRECT("Pianificazione!f1:f800"),MATCH($A22&amp;C$1,INDIRECT("Pianificazione!c1:c800")&amp;INDIRECT("Pianificazione!a1:a800"),0)),"hh:mm"),""))</f>
        <v>Riposo</v>
      </c>
      <c r="D22" s="15" t="str" cm="1">
        <f t="array" aca="1" ref="D22" ca="1">+IF(IFERROR(TEXT(INDEX(INDIRECT("Pianificazione!e1:e800"),MATCH($A22&amp;D$1,INDIRECT("Pianificazione!c1:c800")&amp;INDIRECT("Pianificazione!a1:a800"),0)),"hh:mm"),"")&amp;"-"&amp;IFERROR(TEXT(INDEX(INDIRECT("Pianificazione!f1:f800"),MATCH($A22&amp;D$1,INDIRECT("Pianificazione!c1:c800")&amp;INDIRECT("Pianificazione!a1:a800"),0)),"hh:mm"),"")="-","Riposo",IFERROR(TEXT(INDEX(INDIRECT("Pianificazione!e1:e800"),MATCH($A22&amp;D$1,INDIRECT("Pianificazione!c1:c800")&amp;INDIRECT("Pianificazione!a1:a800"),0)),"hh:mm"),"")&amp;"-"&amp;IFERROR(TEXT(INDEX(INDIRECT("Pianificazione!f1:f800"),MATCH($A22&amp;D$1,INDIRECT("Pianificazione!c1:c800")&amp;INDIRECT("Pianificazione!a1:a800"),0)),"hh:mm"),""))</f>
        <v>Riposo</v>
      </c>
      <c r="E22" s="15" t="str" cm="1">
        <f t="array" aca="1" ref="E22" ca="1">+IF(IFERROR(TEXT(INDEX(INDIRECT("Pianificazione!e1:e800"),MATCH($A22&amp;E$1,INDIRECT("Pianificazione!c1:c800")&amp;INDIRECT("Pianificazione!a1:a800"),0)),"hh:mm"),"")&amp;"-"&amp;IFERROR(TEXT(INDEX(INDIRECT("Pianificazione!f1:f800"),MATCH($A22&amp;E$1,INDIRECT("Pianificazione!c1:c800")&amp;INDIRECT("Pianificazione!a1:a800"),0)),"hh:mm"),"")="-","Riposo",IFERROR(TEXT(INDEX(INDIRECT("Pianificazione!e1:e800"),MATCH($A22&amp;E$1,INDIRECT("Pianificazione!c1:c800")&amp;INDIRECT("Pianificazione!a1:a800"),0)),"hh:mm"),"")&amp;"-"&amp;IFERROR(TEXT(INDEX(INDIRECT("Pianificazione!f1:f800"),MATCH($A22&amp;E$1,INDIRECT("Pianificazione!c1:c800")&amp;INDIRECT("Pianificazione!a1:a800"),0)),"hh:mm"),""))</f>
        <v>Riposo</v>
      </c>
      <c r="F22" s="15" t="str" cm="1">
        <f t="array" aca="1" ref="F22" ca="1">+IF(IFERROR(TEXT(INDEX(INDIRECT("Pianificazione!e1:e800"),MATCH($A22&amp;F$1,INDIRECT("Pianificazione!c1:c800")&amp;INDIRECT("Pianificazione!a1:a800"),0)),"hh:mm"),"")&amp;"-"&amp;IFERROR(TEXT(INDEX(INDIRECT("Pianificazione!f1:f800"),MATCH($A22&amp;F$1,INDIRECT("Pianificazione!c1:c800")&amp;INDIRECT("Pianificazione!a1:a800"),0)),"hh:mm"),"")="-","Riposo",IFERROR(TEXT(INDEX(INDIRECT("Pianificazione!e1:e800"),MATCH($A22&amp;F$1,INDIRECT("Pianificazione!c1:c800")&amp;INDIRECT("Pianificazione!a1:a800"),0)),"hh:mm"),"")&amp;"-"&amp;IFERROR(TEXT(INDEX(INDIRECT("Pianificazione!f1:f800"),MATCH($A22&amp;F$1,INDIRECT("Pianificazione!c1:c800")&amp;INDIRECT("Pianificazione!a1:a800"),0)),"hh:mm"),""))</f>
        <v>Riposo</v>
      </c>
      <c r="G22" s="15" t="str" cm="1">
        <f t="array" aca="1" ref="G22" ca="1">+IF(IFERROR(TEXT(INDEX(INDIRECT("Pianificazione!e1:e800"),MATCH($A22&amp;G$1,INDIRECT("Pianificazione!c1:c800")&amp;INDIRECT("Pianificazione!a1:a800"),0)),"hh:mm"),"")&amp;"-"&amp;IFERROR(TEXT(INDEX(INDIRECT("Pianificazione!f1:f800"),MATCH($A22&amp;G$1,INDIRECT("Pianificazione!c1:c800")&amp;INDIRECT("Pianificazione!a1:a800"),0)),"hh:mm"),"")="-","Riposo",IFERROR(TEXT(INDEX(INDIRECT("Pianificazione!e1:e800"),MATCH($A22&amp;G$1,INDIRECT("Pianificazione!c1:c800")&amp;INDIRECT("Pianificazione!a1:a800"),0)),"hh:mm"),"")&amp;"-"&amp;IFERROR(TEXT(INDEX(INDIRECT("Pianificazione!f1:f800"),MATCH($A22&amp;G$1,INDIRECT("Pianificazione!c1:c800")&amp;INDIRECT("Pianificazione!a1:a800"),0)),"hh:mm"),""))</f>
        <v>Riposo</v>
      </c>
      <c r="H22" s="15" t="str" cm="1">
        <f t="array" aca="1" ref="H22" ca="1">+IF(IFERROR(TEXT(INDEX(INDIRECT("Pianificazione!e1:e800"),MATCH($A22&amp;H$1,INDIRECT("Pianificazione!c1:c800")&amp;INDIRECT("Pianificazione!a1:a800"),0)),"hh:mm"),"")&amp;"-"&amp;IFERROR(TEXT(INDEX(INDIRECT("Pianificazione!f1:f800"),MATCH($A22&amp;H$1,INDIRECT("Pianificazione!c1:c800")&amp;INDIRECT("Pianificazione!a1:a800"),0)),"hh:mm"),"")="-","Riposo",IFERROR(TEXT(INDEX(INDIRECT("Pianificazione!e1:e800"),MATCH($A22&amp;H$1,INDIRECT("Pianificazione!c1:c800")&amp;INDIRECT("Pianificazione!a1:a800"),0)),"hh:mm"),"")&amp;"-"&amp;IFERROR(TEXT(INDEX(INDIRECT("Pianificazione!f1:f800"),MATCH($A22&amp;H$1,INDIRECT("Pianificazione!c1:c800")&amp;INDIRECT("Pianificazione!a1:a800"),0)),"hh:mm"),""))</f>
        <v>Riposo</v>
      </c>
      <c r="J22" s="4">
        <v>1</v>
      </c>
    </row>
    <row r="23" spans="1:10">
      <c r="A23" t="str">
        <f>+Risorse!B23</f>
        <v>Correnti Chiara</v>
      </c>
      <c r="B23" s="15" t="str" cm="1">
        <f t="array" aca="1" ref="B23" ca="1">+IF(IFERROR(TEXT(INDEX(INDIRECT("Pianificazione!e1:e800"),MATCH($A23&amp;B$1,INDIRECT("Pianificazione!c1:c800")&amp;INDIRECT("Pianificazione!a1:a800"),0)),"hh:mm"),"")&amp;"-"&amp;IFERROR(TEXT(INDEX(INDIRECT("Pianificazione!f1:f800"),MATCH($A23&amp;B$1,INDIRECT("Pianificazione!c1:c800")&amp;INDIRECT("Pianificazione!a1:a800"),0)),"hh:mm"),"")="-","Riposo",IFERROR(TEXT(INDEX(INDIRECT("Pianificazione!e1:e800"),MATCH($A23&amp;B$1,INDIRECT("Pianificazione!c1:c800")&amp;INDIRECT("Pianificazione!a1:a800"),0)),"hh:mm"),"")&amp;"-"&amp;IFERROR(TEXT(INDEX(INDIRECT("Pianificazione!f1:f800"),MATCH($A23&amp;B$1,INDIRECT("Pianificazione!c1:c800")&amp;INDIRECT("Pianificazione!a1:a800"),0)),"hh:mm"),""))</f>
        <v>Riposo</v>
      </c>
      <c r="C23" s="15" t="str" cm="1">
        <f t="array" aca="1" ref="C23" ca="1">+IF(IFERROR(TEXT(INDEX(INDIRECT("Pianificazione!e1:e800"),MATCH($A23&amp;C$1,INDIRECT("Pianificazione!c1:c800")&amp;INDIRECT("Pianificazione!a1:a800"),0)),"hh:mm"),"")&amp;"-"&amp;IFERROR(TEXT(INDEX(INDIRECT("Pianificazione!f1:f800"),MATCH($A23&amp;C$1,INDIRECT("Pianificazione!c1:c800")&amp;INDIRECT("Pianificazione!a1:a800"),0)),"hh:mm"),"")="-","Riposo",IFERROR(TEXT(INDEX(INDIRECT("Pianificazione!e1:e800"),MATCH($A23&amp;C$1,INDIRECT("Pianificazione!c1:c800")&amp;INDIRECT("Pianificazione!a1:a800"),0)),"hh:mm"),"")&amp;"-"&amp;IFERROR(TEXT(INDEX(INDIRECT("Pianificazione!f1:f800"),MATCH($A23&amp;C$1,INDIRECT("Pianificazione!c1:c800")&amp;INDIRECT("Pianificazione!a1:a800"),0)),"hh:mm"),""))</f>
        <v>Riposo</v>
      </c>
      <c r="D23" s="15" t="str" cm="1">
        <f t="array" aca="1" ref="D23" ca="1">+IF(IFERROR(TEXT(INDEX(INDIRECT("Pianificazione!e1:e800"),MATCH($A23&amp;D$1,INDIRECT("Pianificazione!c1:c800")&amp;INDIRECT("Pianificazione!a1:a800"),0)),"hh:mm"),"")&amp;"-"&amp;IFERROR(TEXT(INDEX(INDIRECT("Pianificazione!f1:f800"),MATCH($A23&amp;D$1,INDIRECT("Pianificazione!c1:c800")&amp;INDIRECT("Pianificazione!a1:a800"),0)),"hh:mm"),"")="-","Riposo",IFERROR(TEXT(INDEX(INDIRECT("Pianificazione!e1:e800"),MATCH($A23&amp;D$1,INDIRECT("Pianificazione!c1:c800")&amp;INDIRECT("Pianificazione!a1:a800"),0)),"hh:mm"),"")&amp;"-"&amp;IFERROR(TEXT(INDEX(INDIRECT("Pianificazione!f1:f800"),MATCH($A23&amp;D$1,INDIRECT("Pianificazione!c1:c800")&amp;INDIRECT("Pianificazione!a1:a800"),0)),"hh:mm"),""))</f>
        <v>Riposo</v>
      </c>
      <c r="E23" s="15" t="str" cm="1">
        <f t="array" aca="1" ref="E23" ca="1">+IF(IFERROR(TEXT(INDEX(INDIRECT("Pianificazione!e1:e800"),MATCH($A23&amp;E$1,INDIRECT("Pianificazione!c1:c800")&amp;INDIRECT("Pianificazione!a1:a800"),0)),"hh:mm"),"")&amp;"-"&amp;IFERROR(TEXT(INDEX(INDIRECT("Pianificazione!f1:f800"),MATCH($A23&amp;E$1,INDIRECT("Pianificazione!c1:c800")&amp;INDIRECT("Pianificazione!a1:a800"),0)),"hh:mm"),"")="-","Riposo",IFERROR(TEXT(INDEX(INDIRECT("Pianificazione!e1:e800"),MATCH($A23&amp;E$1,INDIRECT("Pianificazione!c1:c800")&amp;INDIRECT("Pianificazione!a1:a800"),0)),"hh:mm"),"")&amp;"-"&amp;IFERROR(TEXT(INDEX(INDIRECT("Pianificazione!f1:f800"),MATCH($A23&amp;E$1,INDIRECT("Pianificazione!c1:c800")&amp;INDIRECT("Pianificazione!a1:a800"),0)),"hh:mm"),""))</f>
        <v>Riposo</v>
      </c>
      <c r="F23" s="15" t="str" cm="1">
        <f t="array" aca="1" ref="F23" ca="1">+IF(IFERROR(TEXT(INDEX(INDIRECT("Pianificazione!e1:e800"),MATCH($A23&amp;F$1,INDIRECT("Pianificazione!c1:c800")&amp;INDIRECT("Pianificazione!a1:a800"),0)),"hh:mm"),"")&amp;"-"&amp;IFERROR(TEXT(INDEX(INDIRECT("Pianificazione!f1:f800"),MATCH($A23&amp;F$1,INDIRECT("Pianificazione!c1:c800")&amp;INDIRECT("Pianificazione!a1:a800"),0)),"hh:mm"),"")="-","Riposo",IFERROR(TEXT(INDEX(INDIRECT("Pianificazione!e1:e800"),MATCH($A23&amp;F$1,INDIRECT("Pianificazione!c1:c800")&amp;INDIRECT("Pianificazione!a1:a800"),0)),"hh:mm"),"")&amp;"-"&amp;IFERROR(TEXT(INDEX(INDIRECT("Pianificazione!f1:f800"),MATCH($A23&amp;F$1,INDIRECT("Pianificazione!c1:c800")&amp;INDIRECT("Pianificazione!a1:a800"),0)),"hh:mm"),""))</f>
        <v>Riposo</v>
      </c>
      <c r="G23" s="15" t="str" cm="1">
        <f t="array" aca="1" ref="G23" ca="1">+IF(IFERROR(TEXT(INDEX(INDIRECT("Pianificazione!e1:e800"),MATCH($A23&amp;G$1,INDIRECT("Pianificazione!c1:c800")&amp;INDIRECT("Pianificazione!a1:a800"),0)),"hh:mm"),"")&amp;"-"&amp;IFERROR(TEXT(INDEX(INDIRECT("Pianificazione!f1:f800"),MATCH($A23&amp;G$1,INDIRECT("Pianificazione!c1:c800")&amp;INDIRECT("Pianificazione!a1:a800"),0)),"hh:mm"),"")="-","Riposo",IFERROR(TEXT(INDEX(INDIRECT("Pianificazione!e1:e800"),MATCH($A23&amp;G$1,INDIRECT("Pianificazione!c1:c800")&amp;INDIRECT("Pianificazione!a1:a800"),0)),"hh:mm"),"")&amp;"-"&amp;IFERROR(TEXT(INDEX(INDIRECT("Pianificazione!f1:f800"),MATCH($A23&amp;G$1,INDIRECT("Pianificazione!c1:c800")&amp;INDIRECT("Pianificazione!a1:a800"),0)),"hh:mm"),""))</f>
        <v>Riposo</v>
      </c>
      <c r="H23" s="15" t="str" cm="1">
        <f t="array" aca="1" ref="H23" ca="1">+IF(IFERROR(TEXT(INDEX(INDIRECT("Pianificazione!e1:e800"),MATCH($A23&amp;H$1,INDIRECT("Pianificazione!c1:c800")&amp;INDIRECT("Pianificazione!a1:a800"),0)),"hh:mm"),"")&amp;"-"&amp;IFERROR(TEXT(INDEX(INDIRECT("Pianificazione!f1:f800"),MATCH($A23&amp;H$1,INDIRECT("Pianificazione!c1:c800")&amp;INDIRECT("Pianificazione!a1:a800"),0)),"hh:mm"),"")="-","Riposo",IFERROR(TEXT(INDEX(INDIRECT("Pianificazione!e1:e800"),MATCH($A23&amp;H$1,INDIRECT("Pianificazione!c1:c800")&amp;INDIRECT("Pianificazione!a1:a800"),0)),"hh:mm"),"")&amp;"-"&amp;IFERROR(TEXT(INDEX(INDIRECT("Pianificazione!f1:f800"),MATCH($A23&amp;H$1,INDIRECT("Pianificazione!c1:c800")&amp;INDIRECT("Pianificazione!a1:a800"),0)),"hh:mm"),""))</f>
        <v>Riposo</v>
      </c>
      <c r="J23" s="4">
        <v>1</v>
      </c>
    </row>
    <row r="24" spans="1:10">
      <c r="A24" t="str">
        <f>+Risorse!B24</f>
        <v>Culcasi Rosalba</v>
      </c>
      <c r="B24" s="15" t="str" cm="1">
        <f t="array" aca="1" ref="B24" ca="1">+IF(IFERROR(TEXT(INDEX(INDIRECT("Pianificazione!e1:e800"),MATCH($A24&amp;B$1,INDIRECT("Pianificazione!c1:c800")&amp;INDIRECT("Pianificazione!a1:a800"),0)),"hh:mm"),"")&amp;"-"&amp;IFERROR(TEXT(INDEX(INDIRECT("Pianificazione!f1:f800"),MATCH($A24&amp;B$1,INDIRECT("Pianificazione!c1:c800")&amp;INDIRECT("Pianificazione!a1:a800"),0)),"hh:mm"),"")="-","Riposo",IFERROR(TEXT(INDEX(INDIRECT("Pianificazione!e1:e800"),MATCH($A24&amp;B$1,INDIRECT("Pianificazione!c1:c800")&amp;INDIRECT("Pianificazione!a1:a800"),0)),"hh:mm"),"")&amp;"-"&amp;IFERROR(TEXT(INDEX(INDIRECT("Pianificazione!f1:f800"),MATCH($A24&amp;B$1,INDIRECT("Pianificazione!c1:c800")&amp;INDIRECT("Pianificazione!a1:a800"),0)),"hh:mm"),""))</f>
        <v>Riposo</v>
      </c>
      <c r="C24" s="15" t="str" cm="1">
        <f t="array" aca="1" ref="C24" ca="1">+IF(IFERROR(TEXT(INDEX(INDIRECT("Pianificazione!e1:e800"),MATCH($A24&amp;C$1,INDIRECT("Pianificazione!c1:c800")&amp;INDIRECT("Pianificazione!a1:a800"),0)),"hh:mm"),"")&amp;"-"&amp;IFERROR(TEXT(INDEX(INDIRECT("Pianificazione!f1:f800"),MATCH($A24&amp;C$1,INDIRECT("Pianificazione!c1:c800")&amp;INDIRECT("Pianificazione!a1:a800"),0)),"hh:mm"),"")="-","Riposo",IFERROR(TEXT(INDEX(INDIRECT("Pianificazione!e1:e800"),MATCH($A24&amp;C$1,INDIRECT("Pianificazione!c1:c800")&amp;INDIRECT("Pianificazione!a1:a800"),0)),"hh:mm"),"")&amp;"-"&amp;IFERROR(TEXT(INDEX(INDIRECT("Pianificazione!f1:f800"),MATCH($A24&amp;C$1,INDIRECT("Pianificazione!c1:c800")&amp;INDIRECT("Pianificazione!a1:a800"),0)),"hh:mm"),""))</f>
        <v>Riposo</v>
      </c>
      <c r="D24" s="15" t="str" cm="1">
        <f t="array" aca="1" ref="D24" ca="1">+IF(IFERROR(TEXT(INDEX(INDIRECT("Pianificazione!e1:e800"),MATCH($A24&amp;D$1,INDIRECT("Pianificazione!c1:c800")&amp;INDIRECT("Pianificazione!a1:a800"),0)),"hh:mm"),"")&amp;"-"&amp;IFERROR(TEXT(INDEX(INDIRECT("Pianificazione!f1:f800"),MATCH($A24&amp;D$1,INDIRECT("Pianificazione!c1:c800")&amp;INDIRECT("Pianificazione!a1:a800"),0)),"hh:mm"),"")="-","Riposo",IFERROR(TEXT(INDEX(INDIRECT("Pianificazione!e1:e800"),MATCH($A24&amp;D$1,INDIRECT("Pianificazione!c1:c800")&amp;INDIRECT("Pianificazione!a1:a800"),0)),"hh:mm"),"")&amp;"-"&amp;IFERROR(TEXT(INDEX(INDIRECT("Pianificazione!f1:f800"),MATCH($A24&amp;D$1,INDIRECT("Pianificazione!c1:c800")&amp;INDIRECT("Pianificazione!a1:a800"),0)),"hh:mm"),""))</f>
        <v>Riposo</v>
      </c>
      <c r="E24" s="15" t="str" cm="1">
        <f t="array" aca="1" ref="E24" ca="1">+IF(IFERROR(TEXT(INDEX(INDIRECT("Pianificazione!e1:e800"),MATCH($A24&amp;E$1,INDIRECT("Pianificazione!c1:c800")&amp;INDIRECT("Pianificazione!a1:a800"),0)),"hh:mm"),"")&amp;"-"&amp;IFERROR(TEXT(INDEX(INDIRECT("Pianificazione!f1:f800"),MATCH($A24&amp;E$1,INDIRECT("Pianificazione!c1:c800")&amp;INDIRECT("Pianificazione!a1:a800"),0)),"hh:mm"),"")="-","Riposo",IFERROR(TEXT(INDEX(INDIRECT("Pianificazione!e1:e800"),MATCH($A24&amp;E$1,INDIRECT("Pianificazione!c1:c800")&amp;INDIRECT("Pianificazione!a1:a800"),0)),"hh:mm"),"")&amp;"-"&amp;IFERROR(TEXT(INDEX(INDIRECT("Pianificazione!f1:f800"),MATCH($A24&amp;E$1,INDIRECT("Pianificazione!c1:c800")&amp;INDIRECT("Pianificazione!a1:a800"),0)),"hh:mm"),""))</f>
        <v>Riposo</v>
      </c>
      <c r="F24" s="15" t="str" cm="1">
        <f t="array" aca="1" ref="F24" ca="1">+IF(IFERROR(TEXT(INDEX(INDIRECT("Pianificazione!e1:e800"),MATCH($A24&amp;F$1,INDIRECT("Pianificazione!c1:c800")&amp;INDIRECT("Pianificazione!a1:a800"),0)),"hh:mm"),"")&amp;"-"&amp;IFERROR(TEXT(INDEX(INDIRECT("Pianificazione!f1:f800"),MATCH($A24&amp;F$1,INDIRECT("Pianificazione!c1:c800")&amp;INDIRECT("Pianificazione!a1:a800"),0)),"hh:mm"),"")="-","Riposo",IFERROR(TEXT(INDEX(INDIRECT("Pianificazione!e1:e800"),MATCH($A24&amp;F$1,INDIRECT("Pianificazione!c1:c800")&amp;INDIRECT("Pianificazione!a1:a800"),0)),"hh:mm"),"")&amp;"-"&amp;IFERROR(TEXT(INDEX(INDIRECT("Pianificazione!f1:f800"),MATCH($A24&amp;F$1,INDIRECT("Pianificazione!c1:c800")&amp;INDIRECT("Pianificazione!a1:a800"),0)),"hh:mm"),""))</f>
        <v>Riposo</v>
      </c>
      <c r="G24" s="15" t="str" cm="1">
        <f t="array" aca="1" ref="G24" ca="1">+IF(IFERROR(TEXT(INDEX(INDIRECT("Pianificazione!e1:e800"),MATCH($A24&amp;G$1,INDIRECT("Pianificazione!c1:c800")&amp;INDIRECT("Pianificazione!a1:a800"),0)),"hh:mm"),"")&amp;"-"&amp;IFERROR(TEXT(INDEX(INDIRECT("Pianificazione!f1:f800"),MATCH($A24&amp;G$1,INDIRECT("Pianificazione!c1:c800")&amp;INDIRECT("Pianificazione!a1:a800"),0)),"hh:mm"),"")="-","Riposo",IFERROR(TEXT(INDEX(INDIRECT("Pianificazione!e1:e800"),MATCH($A24&amp;G$1,INDIRECT("Pianificazione!c1:c800")&amp;INDIRECT("Pianificazione!a1:a800"),0)),"hh:mm"),"")&amp;"-"&amp;IFERROR(TEXT(INDEX(INDIRECT("Pianificazione!f1:f800"),MATCH($A24&amp;G$1,INDIRECT("Pianificazione!c1:c800")&amp;INDIRECT("Pianificazione!a1:a800"),0)),"hh:mm"),""))</f>
        <v>Riposo</v>
      </c>
      <c r="H24" s="15" t="str" cm="1">
        <f t="array" aca="1" ref="H24" ca="1">+IF(IFERROR(TEXT(INDEX(INDIRECT("Pianificazione!e1:e800"),MATCH($A24&amp;H$1,INDIRECT("Pianificazione!c1:c800")&amp;INDIRECT("Pianificazione!a1:a800"),0)),"hh:mm"),"")&amp;"-"&amp;IFERROR(TEXT(INDEX(INDIRECT("Pianificazione!f1:f800"),MATCH($A24&amp;H$1,INDIRECT("Pianificazione!c1:c800")&amp;INDIRECT("Pianificazione!a1:a800"),0)),"hh:mm"),"")="-","Riposo",IFERROR(TEXT(INDEX(INDIRECT("Pianificazione!e1:e800"),MATCH($A24&amp;H$1,INDIRECT("Pianificazione!c1:c800")&amp;INDIRECT("Pianificazione!a1:a800"),0)),"hh:mm"),"")&amp;"-"&amp;IFERROR(TEXT(INDEX(INDIRECT("Pianificazione!f1:f800"),MATCH($A24&amp;H$1,INDIRECT("Pianificazione!c1:c800")&amp;INDIRECT("Pianificazione!a1:a800"),0)),"hh:mm"),""))</f>
        <v>Riposo</v>
      </c>
      <c r="J24" s="4">
        <v>1</v>
      </c>
    </row>
    <row r="25" spans="1:10">
      <c r="A25" t="str">
        <f>+Risorse!B25</f>
        <v>D'aquila Vincenza</v>
      </c>
      <c r="B25" s="15" t="str" cm="1">
        <f t="array" aca="1" ref="B25" ca="1">+IF(IFERROR(TEXT(INDEX(INDIRECT("Pianificazione!e1:e800"),MATCH($A25&amp;B$1,INDIRECT("Pianificazione!c1:c800")&amp;INDIRECT("Pianificazione!a1:a800"),0)),"hh:mm"),"")&amp;"-"&amp;IFERROR(TEXT(INDEX(INDIRECT("Pianificazione!f1:f800"),MATCH($A25&amp;B$1,INDIRECT("Pianificazione!c1:c800")&amp;INDIRECT("Pianificazione!a1:a800"),0)),"hh:mm"),"")="-","Riposo",IFERROR(TEXT(INDEX(INDIRECT("Pianificazione!e1:e800"),MATCH($A25&amp;B$1,INDIRECT("Pianificazione!c1:c800")&amp;INDIRECT("Pianificazione!a1:a800"),0)),"hh:mm"),"")&amp;"-"&amp;IFERROR(TEXT(INDEX(INDIRECT("Pianificazione!f1:f800"),MATCH($A25&amp;B$1,INDIRECT("Pianificazione!c1:c800")&amp;INDIRECT("Pianificazione!a1:a800"),0)),"hh:mm"),""))</f>
        <v>Riposo</v>
      </c>
      <c r="C25" s="15" t="str" cm="1">
        <f t="array" aca="1" ref="C25" ca="1">+IF(IFERROR(TEXT(INDEX(INDIRECT("Pianificazione!e1:e800"),MATCH($A25&amp;C$1,INDIRECT("Pianificazione!c1:c800")&amp;INDIRECT("Pianificazione!a1:a800"),0)),"hh:mm"),"")&amp;"-"&amp;IFERROR(TEXT(INDEX(INDIRECT("Pianificazione!f1:f800"),MATCH($A25&amp;C$1,INDIRECT("Pianificazione!c1:c800")&amp;INDIRECT("Pianificazione!a1:a800"),0)),"hh:mm"),"")="-","Riposo",IFERROR(TEXT(INDEX(INDIRECT("Pianificazione!e1:e800"),MATCH($A25&amp;C$1,INDIRECT("Pianificazione!c1:c800")&amp;INDIRECT("Pianificazione!a1:a800"),0)),"hh:mm"),"")&amp;"-"&amp;IFERROR(TEXT(INDEX(INDIRECT("Pianificazione!f1:f800"),MATCH($A25&amp;C$1,INDIRECT("Pianificazione!c1:c800")&amp;INDIRECT("Pianificazione!a1:a800"),0)),"hh:mm"),""))</f>
        <v>Riposo</v>
      </c>
      <c r="D25" s="15" t="str" cm="1">
        <f t="array" aca="1" ref="D25" ca="1">+IF(IFERROR(TEXT(INDEX(INDIRECT("Pianificazione!e1:e800"),MATCH($A25&amp;D$1,INDIRECT("Pianificazione!c1:c800")&amp;INDIRECT("Pianificazione!a1:a800"),0)),"hh:mm"),"")&amp;"-"&amp;IFERROR(TEXT(INDEX(INDIRECT("Pianificazione!f1:f800"),MATCH($A25&amp;D$1,INDIRECT("Pianificazione!c1:c800")&amp;INDIRECT("Pianificazione!a1:a800"),0)),"hh:mm"),"")="-","Riposo",IFERROR(TEXT(INDEX(INDIRECT("Pianificazione!e1:e800"),MATCH($A25&amp;D$1,INDIRECT("Pianificazione!c1:c800")&amp;INDIRECT("Pianificazione!a1:a800"),0)),"hh:mm"),"")&amp;"-"&amp;IFERROR(TEXT(INDEX(INDIRECT("Pianificazione!f1:f800"),MATCH($A25&amp;D$1,INDIRECT("Pianificazione!c1:c800")&amp;INDIRECT("Pianificazione!a1:a800"),0)),"hh:mm"),""))</f>
        <v>Riposo</v>
      </c>
      <c r="E25" s="15" t="str" cm="1">
        <f t="array" aca="1" ref="E25" ca="1">+IF(IFERROR(TEXT(INDEX(INDIRECT("Pianificazione!e1:e800"),MATCH($A25&amp;E$1,INDIRECT("Pianificazione!c1:c800")&amp;INDIRECT("Pianificazione!a1:a800"),0)),"hh:mm"),"")&amp;"-"&amp;IFERROR(TEXT(INDEX(INDIRECT("Pianificazione!f1:f800"),MATCH($A25&amp;E$1,INDIRECT("Pianificazione!c1:c800")&amp;INDIRECT("Pianificazione!a1:a800"),0)),"hh:mm"),"")="-","Riposo",IFERROR(TEXT(INDEX(INDIRECT("Pianificazione!e1:e800"),MATCH($A25&amp;E$1,INDIRECT("Pianificazione!c1:c800")&amp;INDIRECT("Pianificazione!a1:a800"),0)),"hh:mm"),"")&amp;"-"&amp;IFERROR(TEXT(INDEX(INDIRECT("Pianificazione!f1:f800"),MATCH($A25&amp;E$1,INDIRECT("Pianificazione!c1:c800")&amp;INDIRECT("Pianificazione!a1:a800"),0)),"hh:mm"),""))</f>
        <v>Riposo</v>
      </c>
      <c r="F25" s="15" t="str" cm="1">
        <f t="array" aca="1" ref="F25" ca="1">+IF(IFERROR(TEXT(INDEX(INDIRECT("Pianificazione!e1:e800"),MATCH($A25&amp;F$1,INDIRECT("Pianificazione!c1:c800")&amp;INDIRECT("Pianificazione!a1:a800"),0)),"hh:mm"),"")&amp;"-"&amp;IFERROR(TEXT(INDEX(INDIRECT("Pianificazione!f1:f800"),MATCH($A25&amp;F$1,INDIRECT("Pianificazione!c1:c800")&amp;INDIRECT("Pianificazione!a1:a800"),0)),"hh:mm"),"")="-","Riposo",IFERROR(TEXT(INDEX(INDIRECT("Pianificazione!e1:e800"),MATCH($A25&amp;F$1,INDIRECT("Pianificazione!c1:c800")&amp;INDIRECT("Pianificazione!a1:a800"),0)),"hh:mm"),"")&amp;"-"&amp;IFERROR(TEXT(INDEX(INDIRECT("Pianificazione!f1:f800"),MATCH($A25&amp;F$1,INDIRECT("Pianificazione!c1:c800")&amp;INDIRECT("Pianificazione!a1:a800"),0)),"hh:mm"),""))</f>
        <v>Riposo</v>
      </c>
      <c r="G25" s="15" t="str" cm="1">
        <f t="array" aca="1" ref="G25" ca="1">+IF(IFERROR(TEXT(INDEX(INDIRECT("Pianificazione!e1:e800"),MATCH($A25&amp;G$1,INDIRECT("Pianificazione!c1:c800")&amp;INDIRECT("Pianificazione!a1:a800"),0)),"hh:mm"),"")&amp;"-"&amp;IFERROR(TEXT(INDEX(INDIRECT("Pianificazione!f1:f800"),MATCH($A25&amp;G$1,INDIRECT("Pianificazione!c1:c800")&amp;INDIRECT("Pianificazione!a1:a800"),0)),"hh:mm"),"")="-","Riposo",IFERROR(TEXT(INDEX(INDIRECT("Pianificazione!e1:e800"),MATCH($A25&amp;G$1,INDIRECT("Pianificazione!c1:c800")&amp;INDIRECT("Pianificazione!a1:a800"),0)),"hh:mm"),"")&amp;"-"&amp;IFERROR(TEXT(INDEX(INDIRECT("Pianificazione!f1:f800"),MATCH($A25&amp;G$1,INDIRECT("Pianificazione!c1:c800")&amp;INDIRECT("Pianificazione!a1:a800"),0)),"hh:mm"),""))</f>
        <v>Riposo</v>
      </c>
      <c r="H25" s="15" t="str" cm="1">
        <f t="array" aca="1" ref="H25" ca="1">+IF(IFERROR(TEXT(INDEX(INDIRECT("Pianificazione!e1:e800"),MATCH($A25&amp;H$1,INDIRECT("Pianificazione!c1:c800")&amp;INDIRECT("Pianificazione!a1:a800"),0)),"hh:mm"),"")&amp;"-"&amp;IFERROR(TEXT(INDEX(INDIRECT("Pianificazione!f1:f800"),MATCH($A25&amp;H$1,INDIRECT("Pianificazione!c1:c800")&amp;INDIRECT("Pianificazione!a1:a800"),0)),"hh:mm"),"")="-","Riposo",IFERROR(TEXT(INDEX(INDIRECT("Pianificazione!e1:e800"),MATCH($A25&amp;H$1,INDIRECT("Pianificazione!c1:c800")&amp;INDIRECT("Pianificazione!a1:a800"),0)),"hh:mm"),"")&amp;"-"&amp;IFERROR(TEXT(INDEX(INDIRECT("Pianificazione!f1:f800"),MATCH($A25&amp;H$1,INDIRECT("Pianificazione!c1:c800")&amp;INDIRECT("Pianificazione!a1:a800"),0)),"hh:mm"),""))</f>
        <v>Riposo</v>
      </c>
      <c r="J25" s="4">
        <v>1</v>
      </c>
    </row>
    <row r="26" spans="1:10">
      <c r="A26" t="str">
        <f>+Risorse!B26</f>
        <v>Di Miceli Stefania</v>
      </c>
      <c r="B26" s="15" t="str" cm="1">
        <f t="array" aca="1" ref="B26" ca="1">+IF(IFERROR(TEXT(INDEX(INDIRECT("Pianificazione!e1:e800"),MATCH($A26&amp;B$1,INDIRECT("Pianificazione!c1:c800")&amp;INDIRECT("Pianificazione!a1:a800"),0)),"hh:mm"),"")&amp;"-"&amp;IFERROR(TEXT(INDEX(INDIRECT("Pianificazione!f1:f800"),MATCH($A26&amp;B$1,INDIRECT("Pianificazione!c1:c800")&amp;INDIRECT("Pianificazione!a1:a800"),0)),"hh:mm"),"")="-","Riposo",IFERROR(TEXT(INDEX(INDIRECT("Pianificazione!e1:e800"),MATCH($A26&amp;B$1,INDIRECT("Pianificazione!c1:c800")&amp;INDIRECT("Pianificazione!a1:a800"),0)),"hh:mm"),"")&amp;"-"&amp;IFERROR(TEXT(INDEX(INDIRECT("Pianificazione!f1:f800"),MATCH($A26&amp;B$1,INDIRECT("Pianificazione!c1:c800")&amp;INDIRECT("Pianificazione!a1:a800"),0)),"hh:mm"),""))</f>
        <v>Riposo</v>
      </c>
      <c r="C26" s="15" t="str" cm="1">
        <f t="array" aca="1" ref="C26" ca="1">+IF(IFERROR(TEXT(INDEX(INDIRECT("Pianificazione!e1:e800"),MATCH($A26&amp;C$1,INDIRECT("Pianificazione!c1:c800")&amp;INDIRECT("Pianificazione!a1:a800"),0)),"hh:mm"),"")&amp;"-"&amp;IFERROR(TEXT(INDEX(INDIRECT("Pianificazione!f1:f800"),MATCH($A26&amp;C$1,INDIRECT("Pianificazione!c1:c800")&amp;INDIRECT("Pianificazione!a1:a800"),0)),"hh:mm"),"")="-","Riposo",IFERROR(TEXT(INDEX(INDIRECT("Pianificazione!e1:e800"),MATCH($A26&amp;C$1,INDIRECT("Pianificazione!c1:c800")&amp;INDIRECT("Pianificazione!a1:a800"),0)),"hh:mm"),"")&amp;"-"&amp;IFERROR(TEXT(INDEX(INDIRECT("Pianificazione!f1:f800"),MATCH($A26&amp;C$1,INDIRECT("Pianificazione!c1:c800")&amp;INDIRECT("Pianificazione!a1:a800"),0)),"hh:mm"),""))</f>
        <v>Riposo</v>
      </c>
      <c r="D26" s="15" t="str" cm="1">
        <f t="array" aca="1" ref="D26" ca="1">+IF(IFERROR(TEXT(INDEX(INDIRECT("Pianificazione!e1:e800"),MATCH($A26&amp;D$1,INDIRECT("Pianificazione!c1:c800")&amp;INDIRECT("Pianificazione!a1:a800"),0)),"hh:mm"),"")&amp;"-"&amp;IFERROR(TEXT(INDEX(INDIRECT("Pianificazione!f1:f800"),MATCH($A26&amp;D$1,INDIRECT("Pianificazione!c1:c800")&amp;INDIRECT("Pianificazione!a1:a800"),0)),"hh:mm"),"")="-","Riposo",IFERROR(TEXT(INDEX(INDIRECT("Pianificazione!e1:e800"),MATCH($A26&amp;D$1,INDIRECT("Pianificazione!c1:c800")&amp;INDIRECT("Pianificazione!a1:a800"),0)),"hh:mm"),"")&amp;"-"&amp;IFERROR(TEXT(INDEX(INDIRECT("Pianificazione!f1:f800"),MATCH($A26&amp;D$1,INDIRECT("Pianificazione!c1:c800")&amp;INDIRECT("Pianificazione!a1:a800"),0)),"hh:mm"),""))</f>
        <v>Riposo</v>
      </c>
      <c r="E26" s="15" t="str" cm="1">
        <f t="array" aca="1" ref="E26" ca="1">+IF(IFERROR(TEXT(INDEX(INDIRECT("Pianificazione!e1:e800"),MATCH($A26&amp;E$1,INDIRECT("Pianificazione!c1:c800")&amp;INDIRECT("Pianificazione!a1:a800"),0)),"hh:mm"),"")&amp;"-"&amp;IFERROR(TEXT(INDEX(INDIRECT("Pianificazione!f1:f800"),MATCH($A26&amp;E$1,INDIRECT("Pianificazione!c1:c800")&amp;INDIRECT("Pianificazione!a1:a800"),0)),"hh:mm"),"")="-","Riposo",IFERROR(TEXT(INDEX(INDIRECT("Pianificazione!e1:e800"),MATCH($A26&amp;E$1,INDIRECT("Pianificazione!c1:c800")&amp;INDIRECT("Pianificazione!a1:a800"),0)),"hh:mm"),"")&amp;"-"&amp;IFERROR(TEXT(INDEX(INDIRECT("Pianificazione!f1:f800"),MATCH($A26&amp;E$1,INDIRECT("Pianificazione!c1:c800")&amp;INDIRECT("Pianificazione!a1:a800"),0)),"hh:mm"),""))</f>
        <v>Riposo</v>
      </c>
      <c r="F26" s="15" t="str" cm="1">
        <f t="array" aca="1" ref="F26" ca="1">+IF(IFERROR(TEXT(INDEX(INDIRECT("Pianificazione!e1:e800"),MATCH($A26&amp;F$1,INDIRECT("Pianificazione!c1:c800")&amp;INDIRECT("Pianificazione!a1:a800"),0)),"hh:mm"),"")&amp;"-"&amp;IFERROR(TEXT(INDEX(INDIRECT("Pianificazione!f1:f800"),MATCH($A26&amp;F$1,INDIRECT("Pianificazione!c1:c800")&amp;INDIRECT("Pianificazione!a1:a800"),0)),"hh:mm"),"")="-","Riposo",IFERROR(TEXT(INDEX(INDIRECT("Pianificazione!e1:e800"),MATCH($A26&amp;F$1,INDIRECT("Pianificazione!c1:c800")&amp;INDIRECT("Pianificazione!a1:a800"),0)),"hh:mm"),"")&amp;"-"&amp;IFERROR(TEXT(INDEX(INDIRECT("Pianificazione!f1:f800"),MATCH($A26&amp;F$1,INDIRECT("Pianificazione!c1:c800")&amp;INDIRECT("Pianificazione!a1:a800"),0)),"hh:mm"),""))</f>
        <v>Riposo</v>
      </c>
      <c r="G26" s="15" t="str" cm="1">
        <f t="array" aca="1" ref="G26" ca="1">+IF(IFERROR(TEXT(INDEX(INDIRECT("Pianificazione!e1:e800"),MATCH($A26&amp;G$1,INDIRECT("Pianificazione!c1:c800")&amp;INDIRECT("Pianificazione!a1:a800"),0)),"hh:mm"),"")&amp;"-"&amp;IFERROR(TEXT(INDEX(INDIRECT("Pianificazione!f1:f800"),MATCH($A26&amp;G$1,INDIRECT("Pianificazione!c1:c800")&amp;INDIRECT("Pianificazione!a1:a800"),0)),"hh:mm"),"")="-","Riposo",IFERROR(TEXT(INDEX(INDIRECT("Pianificazione!e1:e800"),MATCH($A26&amp;G$1,INDIRECT("Pianificazione!c1:c800")&amp;INDIRECT("Pianificazione!a1:a800"),0)),"hh:mm"),"")&amp;"-"&amp;IFERROR(TEXT(INDEX(INDIRECT("Pianificazione!f1:f800"),MATCH($A26&amp;G$1,INDIRECT("Pianificazione!c1:c800")&amp;INDIRECT("Pianificazione!a1:a800"),0)),"hh:mm"),""))</f>
        <v>Riposo</v>
      </c>
      <c r="H26" s="15" t="str" cm="1">
        <f t="array" aca="1" ref="H26" ca="1">+IF(IFERROR(TEXT(INDEX(INDIRECT("Pianificazione!e1:e800"),MATCH($A26&amp;H$1,INDIRECT("Pianificazione!c1:c800")&amp;INDIRECT("Pianificazione!a1:a800"),0)),"hh:mm"),"")&amp;"-"&amp;IFERROR(TEXT(INDEX(INDIRECT("Pianificazione!f1:f800"),MATCH($A26&amp;H$1,INDIRECT("Pianificazione!c1:c800")&amp;INDIRECT("Pianificazione!a1:a800"),0)),"hh:mm"),"")="-","Riposo",IFERROR(TEXT(INDEX(INDIRECT("Pianificazione!e1:e800"),MATCH($A26&amp;H$1,INDIRECT("Pianificazione!c1:c800")&amp;INDIRECT("Pianificazione!a1:a800"),0)),"hh:mm"),"")&amp;"-"&amp;IFERROR(TEXT(INDEX(INDIRECT("Pianificazione!f1:f800"),MATCH($A26&amp;H$1,INDIRECT("Pianificazione!c1:c800")&amp;INDIRECT("Pianificazione!a1:a800"),0)),"hh:mm"),""))</f>
        <v>Riposo</v>
      </c>
      <c r="J26" s="4">
        <v>1</v>
      </c>
    </row>
    <row r="27" spans="1:10">
      <c r="A27" t="str">
        <f>+Risorse!B27</f>
        <v>Elia Stefano</v>
      </c>
      <c r="B27" s="15" t="str" cm="1">
        <f t="array" aca="1" ref="B27" ca="1">+IF(IFERROR(TEXT(INDEX(INDIRECT("Pianificazione!e1:e800"),MATCH($A27&amp;B$1,INDIRECT("Pianificazione!c1:c800")&amp;INDIRECT("Pianificazione!a1:a800"),0)),"hh:mm"),"")&amp;"-"&amp;IFERROR(TEXT(INDEX(INDIRECT("Pianificazione!f1:f800"),MATCH($A27&amp;B$1,INDIRECT("Pianificazione!c1:c800")&amp;INDIRECT("Pianificazione!a1:a800"),0)),"hh:mm"),"")="-","Riposo",IFERROR(TEXT(INDEX(INDIRECT("Pianificazione!e1:e800"),MATCH($A27&amp;B$1,INDIRECT("Pianificazione!c1:c800")&amp;INDIRECT("Pianificazione!a1:a800"),0)),"hh:mm"),"")&amp;"-"&amp;IFERROR(TEXT(INDEX(INDIRECT("Pianificazione!f1:f800"),MATCH($A27&amp;B$1,INDIRECT("Pianificazione!c1:c800")&amp;INDIRECT("Pianificazione!a1:a800"),0)),"hh:mm"),""))</f>
        <v>Riposo</v>
      </c>
      <c r="C27" s="15" t="str" cm="1">
        <f t="array" aca="1" ref="C27" ca="1">+IF(IFERROR(TEXT(INDEX(INDIRECT("Pianificazione!e1:e800"),MATCH($A27&amp;C$1,INDIRECT("Pianificazione!c1:c800")&amp;INDIRECT("Pianificazione!a1:a800"),0)),"hh:mm"),"")&amp;"-"&amp;IFERROR(TEXT(INDEX(INDIRECT("Pianificazione!f1:f800"),MATCH($A27&amp;C$1,INDIRECT("Pianificazione!c1:c800")&amp;INDIRECT("Pianificazione!a1:a800"),0)),"hh:mm"),"")="-","Riposo",IFERROR(TEXT(INDEX(INDIRECT("Pianificazione!e1:e800"),MATCH($A27&amp;C$1,INDIRECT("Pianificazione!c1:c800")&amp;INDIRECT("Pianificazione!a1:a800"),0)),"hh:mm"),"")&amp;"-"&amp;IFERROR(TEXT(INDEX(INDIRECT("Pianificazione!f1:f800"),MATCH($A27&amp;C$1,INDIRECT("Pianificazione!c1:c800")&amp;INDIRECT("Pianificazione!a1:a800"),0)),"hh:mm"),""))</f>
        <v>Riposo</v>
      </c>
      <c r="D27" s="15" t="str" cm="1">
        <f t="array" aca="1" ref="D27" ca="1">+IF(IFERROR(TEXT(INDEX(INDIRECT("Pianificazione!e1:e800"),MATCH($A27&amp;D$1,INDIRECT("Pianificazione!c1:c800")&amp;INDIRECT("Pianificazione!a1:a800"),0)),"hh:mm"),"")&amp;"-"&amp;IFERROR(TEXT(INDEX(INDIRECT("Pianificazione!f1:f800"),MATCH($A27&amp;D$1,INDIRECT("Pianificazione!c1:c800")&amp;INDIRECT("Pianificazione!a1:a800"),0)),"hh:mm"),"")="-","Riposo",IFERROR(TEXT(INDEX(INDIRECT("Pianificazione!e1:e800"),MATCH($A27&amp;D$1,INDIRECT("Pianificazione!c1:c800")&amp;INDIRECT("Pianificazione!a1:a800"),0)),"hh:mm"),"")&amp;"-"&amp;IFERROR(TEXT(INDEX(INDIRECT("Pianificazione!f1:f800"),MATCH($A27&amp;D$1,INDIRECT("Pianificazione!c1:c800")&amp;INDIRECT("Pianificazione!a1:a800"),0)),"hh:mm"),""))</f>
        <v>Riposo</v>
      </c>
      <c r="E27" s="15" t="str" cm="1">
        <f t="array" aca="1" ref="E27" ca="1">+IF(IFERROR(TEXT(INDEX(INDIRECT("Pianificazione!e1:e800"),MATCH($A27&amp;E$1,INDIRECT("Pianificazione!c1:c800")&amp;INDIRECT("Pianificazione!a1:a800"),0)),"hh:mm"),"")&amp;"-"&amp;IFERROR(TEXT(INDEX(INDIRECT("Pianificazione!f1:f800"),MATCH($A27&amp;E$1,INDIRECT("Pianificazione!c1:c800")&amp;INDIRECT("Pianificazione!a1:a800"),0)),"hh:mm"),"")="-","Riposo",IFERROR(TEXT(INDEX(INDIRECT("Pianificazione!e1:e800"),MATCH($A27&amp;E$1,INDIRECT("Pianificazione!c1:c800")&amp;INDIRECT("Pianificazione!a1:a800"),0)),"hh:mm"),"")&amp;"-"&amp;IFERROR(TEXT(INDEX(INDIRECT("Pianificazione!f1:f800"),MATCH($A27&amp;E$1,INDIRECT("Pianificazione!c1:c800")&amp;INDIRECT("Pianificazione!a1:a800"),0)),"hh:mm"),""))</f>
        <v>Riposo</v>
      </c>
      <c r="F27" s="15" t="str" cm="1">
        <f t="array" aca="1" ref="F27" ca="1">+IF(IFERROR(TEXT(INDEX(INDIRECT("Pianificazione!e1:e800"),MATCH($A27&amp;F$1,INDIRECT("Pianificazione!c1:c800")&amp;INDIRECT("Pianificazione!a1:a800"),0)),"hh:mm"),"")&amp;"-"&amp;IFERROR(TEXT(INDEX(INDIRECT("Pianificazione!f1:f800"),MATCH($A27&amp;F$1,INDIRECT("Pianificazione!c1:c800")&amp;INDIRECT("Pianificazione!a1:a800"),0)),"hh:mm"),"")="-","Riposo",IFERROR(TEXT(INDEX(INDIRECT("Pianificazione!e1:e800"),MATCH($A27&amp;F$1,INDIRECT("Pianificazione!c1:c800")&amp;INDIRECT("Pianificazione!a1:a800"),0)),"hh:mm"),"")&amp;"-"&amp;IFERROR(TEXT(INDEX(INDIRECT("Pianificazione!f1:f800"),MATCH($A27&amp;F$1,INDIRECT("Pianificazione!c1:c800")&amp;INDIRECT("Pianificazione!a1:a800"),0)),"hh:mm"),""))</f>
        <v>Riposo</v>
      </c>
      <c r="G27" s="15" t="str" cm="1">
        <f t="array" aca="1" ref="G27" ca="1">+IF(IFERROR(TEXT(INDEX(INDIRECT("Pianificazione!e1:e800"),MATCH($A27&amp;G$1,INDIRECT("Pianificazione!c1:c800")&amp;INDIRECT("Pianificazione!a1:a800"),0)),"hh:mm"),"")&amp;"-"&amp;IFERROR(TEXT(INDEX(INDIRECT("Pianificazione!f1:f800"),MATCH($A27&amp;G$1,INDIRECT("Pianificazione!c1:c800")&amp;INDIRECT("Pianificazione!a1:a800"),0)),"hh:mm"),"")="-","Riposo",IFERROR(TEXT(INDEX(INDIRECT("Pianificazione!e1:e800"),MATCH($A27&amp;G$1,INDIRECT("Pianificazione!c1:c800")&amp;INDIRECT("Pianificazione!a1:a800"),0)),"hh:mm"),"")&amp;"-"&amp;IFERROR(TEXT(INDEX(INDIRECT("Pianificazione!f1:f800"),MATCH($A27&amp;G$1,INDIRECT("Pianificazione!c1:c800")&amp;INDIRECT("Pianificazione!a1:a800"),0)),"hh:mm"),""))</f>
        <v>Riposo</v>
      </c>
      <c r="H27" s="15" t="str" cm="1">
        <f t="array" aca="1" ref="H27" ca="1">+IF(IFERROR(TEXT(INDEX(INDIRECT("Pianificazione!e1:e800"),MATCH($A27&amp;H$1,INDIRECT("Pianificazione!c1:c800")&amp;INDIRECT("Pianificazione!a1:a800"),0)),"hh:mm"),"")&amp;"-"&amp;IFERROR(TEXT(INDEX(INDIRECT("Pianificazione!f1:f800"),MATCH($A27&amp;H$1,INDIRECT("Pianificazione!c1:c800")&amp;INDIRECT("Pianificazione!a1:a800"),0)),"hh:mm"),"")="-","Riposo",IFERROR(TEXT(INDEX(INDIRECT("Pianificazione!e1:e800"),MATCH($A27&amp;H$1,INDIRECT("Pianificazione!c1:c800")&amp;INDIRECT("Pianificazione!a1:a800"),0)),"hh:mm"),"")&amp;"-"&amp;IFERROR(TEXT(INDEX(INDIRECT("Pianificazione!f1:f800"),MATCH($A27&amp;H$1,INDIRECT("Pianificazione!c1:c800")&amp;INDIRECT("Pianificazione!a1:a800"),0)),"hh:mm"),""))</f>
        <v>Riposo</v>
      </c>
      <c r="J27" s="4">
        <v>1</v>
      </c>
    </row>
    <row r="28" spans="1:10">
      <c r="A28" t="str">
        <f>+Risorse!B28</f>
        <v>Esposito Silvana</v>
      </c>
      <c r="B28" s="15" t="str" cm="1">
        <f t="array" aca="1" ref="B28" ca="1">+IF(IFERROR(TEXT(INDEX(INDIRECT("Pianificazione!e1:e800"),MATCH($A28&amp;B$1,INDIRECT("Pianificazione!c1:c800")&amp;INDIRECT("Pianificazione!a1:a800"),0)),"hh:mm"),"")&amp;"-"&amp;IFERROR(TEXT(INDEX(INDIRECT("Pianificazione!f1:f800"),MATCH($A28&amp;B$1,INDIRECT("Pianificazione!c1:c800")&amp;INDIRECT("Pianificazione!a1:a800"),0)),"hh:mm"),"")="-","Riposo",IFERROR(TEXT(INDEX(INDIRECT("Pianificazione!e1:e800"),MATCH($A28&amp;B$1,INDIRECT("Pianificazione!c1:c800")&amp;INDIRECT("Pianificazione!a1:a800"),0)),"hh:mm"),"")&amp;"-"&amp;IFERROR(TEXT(INDEX(INDIRECT("Pianificazione!f1:f800"),MATCH($A28&amp;B$1,INDIRECT("Pianificazione!c1:c800")&amp;INDIRECT("Pianificazione!a1:a800"),0)),"hh:mm"),""))</f>
        <v>Riposo</v>
      </c>
      <c r="C28" s="15" t="str" cm="1">
        <f t="array" aca="1" ref="C28" ca="1">+IF(IFERROR(TEXT(INDEX(INDIRECT("Pianificazione!e1:e800"),MATCH($A28&amp;C$1,INDIRECT("Pianificazione!c1:c800")&amp;INDIRECT("Pianificazione!a1:a800"),0)),"hh:mm"),"")&amp;"-"&amp;IFERROR(TEXT(INDEX(INDIRECT("Pianificazione!f1:f800"),MATCH($A28&amp;C$1,INDIRECT("Pianificazione!c1:c800")&amp;INDIRECT("Pianificazione!a1:a800"),0)),"hh:mm"),"")="-","Riposo",IFERROR(TEXT(INDEX(INDIRECT("Pianificazione!e1:e800"),MATCH($A28&amp;C$1,INDIRECT("Pianificazione!c1:c800")&amp;INDIRECT("Pianificazione!a1:a800"),0)),"hh:mm"),"")&amp;"-"&amp;IFERROR(TEXT(INDEX(INDIRECT("Pianificazione!f1:f800"),MATCH($A28&amp;C$1,INDIRECT("Pianificazione!c1:c800")&amp;INDIRECT("Pianificazione!a1:a800"),0)),"hh:mm"),""))</f>
        <v>Riposo</v>
      </c>
      <c r="D28" s="15" t="str" cm="1">
        <f t="array" aca="1" ref="D28" ca="1">+IF(IFERROR(TEXT(INDEX(INDIRECT("Pianificazione!e1:e800"),MATCH($A28&amp;D$1,INDIRECT("Pianificazione!c1:c800")&amp;INDIRECT("Pianificazione!a1:a800"),0)),"hh:mm"),"")&amp;"-"&amp;IFERROR(TEXT(INDEX(INDIRECT("Pianificazione!f1:f800"),MATCH($A28&amp;D$1,INDIRECT("Pianificazione!c1:c800")&amp;INDIRECT("Pianificazione!a1:a800"),0)),"hh:mm"),"")="-","Riposo",IFERROR(TEXT(INDEX(INDIRECT("Pianificazione!e1:e800"),MATCH($A28&amp;D$1,INDIRECT("Pianificazione!c1:c800")&amp;INDIRECT("Pianificazione!a1:a800"),0)),"hh:mm"),"")&amp;"-"&amp;IFERROR(TEXT(INDEX(INDIRECT("Pianificazione!f1:f800"),MATCH($A28&amp;D$1,INDIRECT("Pianificazione!c1:c800")&amp;INDIRECT("Pianificazione!a1:a800"),0)),"hh:mm"),""))</f>
        <v>Riposo</v>
      </c>
      <c r="E28" s="15" t="str" cm="1">
        <f t="array" aca="1" ref="E28" ca="1">+IF(IFERROR(TEXT(INDEX(INDIRECT("Pianificazione!e1:e800"),MATCH($A28&amp;E$1,INDIRECT("Pianificazione!c1:c800")&amp;INDIRECT("Pianificazione!a1:a800"),0)),"hh:mm"),"")&amp;"-"&amp;IFERROR(TEXT(INDEX(INDIRECT("Pianificazione!f1:f800"),MATCH($A28&amp;E$1,INDIRECT("Pianificazione!c1:c800")&amp;INDIRECT("Pianificazione!a1:a800"),0)),"hh:mm"),"")="-","Riposo",IFERROR(TEXT(INDEX(INDIRECT("Pianificazione!e1:e800"),MATCH($A28&amp;E$1,INDIRECT("Pianificazione!c1:c800")&amp;INDIRECT("Pianificazione!a1:a800"),0)),"hh:mm"),"")&amp;"-"&amp;IFERROR(TEXT(INDEX(INDIRECT("Pianificazione!f1:f800"),MATCH($A28&amp;E$1,INDIRECT("Pianificazione!c1:c800")&amp;INDIRECT("Pianificazione!a1:a800"),0)),"hh:mm"),""))</f>
        <v>Riposo</v>
      </c>
      <c r="F28" s="15" t="str" cm="1">
        <f t="array" aca="1" ref="F28" ca="1">+IF(IFERROR(TEXT(INDEX(INDIRECT("Pianificazione!e1:e800"),MATCH($A28&amp;F$1,INDIRECT("Pianificazione!c1:c800")&amp;INDIRECT("Pianificazione!a1:a800"),0)),"hh:mm"),"")&amp;"-"&amp;IFERROR(TEXT(INDEX(INDIRECT("Pianificazione!f1:f800"),MATCH($A28&amp;F$1,INDIRECT("Pianificazione!c1:c800")&amp;INDIRECT("Pianificazione!a1:a800"),0)),"hh:mm"),"")="-","Riposo",IFERROR(TEXT(INDEX(INDIRECT("Pianificazione!e1:e800"),MATCH($A28&amp;F$1,INDIRECT("Pianificazione!c1:c800")&amp;INDIRECT("Pianificazione!a1:a800"),0)),"hh:mm"),"")&amp;"-"&amp;IFERROR(TEXT(INDEX(INDIRECT("Pianificazione!f1:f800"),MATCH($A28&amp;F$1,INDIRECT("Pianificazione!c1:c800")&amp;INDIRECT("Pianificazione!a1:a800"),0)),"hh:mm"),""))</f>
        <v>Riposo</v>
      </c>
      <c r="G28" s="15" t="str" cm="1">
        <f t="array" aca="1" ref="G28" ca="1">+IF(IFERROR(TEXT(INDEX(INDIRECT("Pianificazione!e1:e800"),MATCH($A28&amp;G$1,INDIRECT("Pianificazione!c1:c800")&amp;INDIRECT("Pianificazione!a1:a800"),0)),"hh:mm"),"")&amp;"-"&amp;IFERROR(TEXT(INDEX(INDIRECT("Pianificazione!f1:f800"),MATCH($A28&amp;G$1,INDIRECT("Pianificazione!c1:c800")&amp;INDIRECT("Pianificazione!a1:a800"),0)),"hh:mm"),"")="-","Riposo",IFERROR(TEXT(INDEX(INDIRECT("Pianificazione!e1:e800"),MATCH($A28&amp;G$1,INDIRECT("Pianificazione!c1:c800")&amp;INDIRECT("Pianificazione!a1:a800"),0)),"hh:mm"),"")&amp;"-"&amp;IFERROR(TEXT(INDEX(INDIRECT("Pianificazione!f1:f800"),MATCH($A28&amp;G$1,INDIRECT("Pianificazione!c1:c800")&amp;INDIRECT("Pianificazione!a1:a800"),0)),"hh:mm"),""))</f>
        <v>Riposo</v>
      </c>
      <c r="H28" s="15" t="str" cm="1">
        <f t="array" aca="1" ref="H28" ca="1">+IF(IFERROR(TEXT(INDEX(INDIRECT("Pianificazione!e1:e800"),MATCH($A28&amp;H$1,INDIRECT("Pianificazione!c1:c800")&amp;INDIRECT("Pianificazione!a1:a800"),0)),"hh:mm"),"")&amp;"-"&amp;IFERROR(TEXT(INDEX(INDIRECT("Pianificazione!f1:f800"),MATCH($A28&amp;H$1,INDIRECT("Pianificazione!c1:c800")&amp;INDIRECT("Pianificazione!a1:a800"),0)),"hh:mm"),"")="-","Riposo",IFERROR(TEXT(INDEX(INDIRECT("Pianificazione!e1:e800"),MATCH($A28&amp;H$1,INDIRECT("Pianificazione!c1:c800")&amp;INDIRECT("Pianificazione!a1:a800"),0)),"hh:mm"),"")&amp;"-"&amp;IFERROR(TEXT(INDEX(INDIRECT("Pianificazione!f1:f800"),MATCH($A28&amp;H$1,INDIRECT("Pianificazione!c1:c800")&amp;INDIRECT("Pianificazione!a1:a800"),0)),"hh:mm"),""))</f>
        <v>Riposo</v>
      </c>
      <c r="J28" s="4">
        <v>1</v>
      </c>
    </row>
    <row r="29" spans="1:10">
      <c r="A29" t="str">
        <f>+Risorse!B29</f>
        <v>Giacopelli Giulia</v>
      </c>
      <c r="B29" s="15" t="str" cm="1">
        <f t="array" aca="1" ref="B29" ca="1">+IF(IFERROR(TEXT(INDEX(INDIRECT("Pianificazione!e1:e800"),MATCH($A29&amp;B$1,INDIRECT("Pianificazione!c1:c800")&amp;INDIRECT("Pianificazione!a1:a800"),0)),"hh:mm"),"")&amp;"-"&amp;IFERROR(TEXT(INDEX(INDIRECT("Pianificazione!f1:f800"),MATCH($A29&amp;B$1,INDIRECT("Pianificazione!c1:c800")&amp;INDIRECT("Pianificazione!a1:a800"),0)),"hh:mm"),"")="-","Riposo",IFERROR(TEXT(INDEX(INDIRECT("Pianificazione!e1:e800"),MATCH($A29&amp;B$1,INDIRECT("Pianificazione!c1:c800")&amp;INDIRECT("Pianificazione!a1:a800"),0)),"hh:mm"),"")&amp;"-"&amp;IFERROR(TEXT(INDEX(INDIRECT("Pianificazione!f1:f800"),MATCH($A29&amp;B$1,INDIRECT("Pianificazione!c1:c800")&amp;INDIRECT("Pianificazione!a1:a800"),0)),"hh:mm"),""))</f>
        <v>Riposo</v>
      </c>
      <c r="C29" s="15" t="str" cm="1">
        <f t="array" aca="1" ref="C29" ca="1">+IF(IFERROR(TEXT(INDEX(INDIRECT("Pianificazione!e1:e800"),MATCH($A29&amp;C$1,INDIRECT("Pianificazione!c1:c800")&amp;INDIRECT("Pianificazione!a1:a800"),0)),"hh:mm"),"")&amp;"-"&amp;IFERROR(TEXT(INDEX(INDIRECT("Pianificazione!f1:f800"),MATCH($A29&amp;C$1,INDIRECT("Pianificazione!c1:c800")&amp;INDIRECT("Pianificazione!a1:a800"),0)),"hh:mm"),"")="-","Riposo",IFERROR(TEXT(INDEX(INDIRECT("Pianificazione!e1:e800"),MATCH($A29&amp;C$1,INDIRECT("Pianificazione!c1:c800")&amp;INDIRECT("Pianificazione!a1:a800"),0)),"hh:mm"),"")&amp;"-"&amp;IFERROR(TEXT(INDEX(INDIRECT("Pianificazione!f1:f800"),MATCH($A29&amp;C$1,INDIRECT("Pianificazione!c1:c800")&amp;INDIRECT("Pianificazione!a1:a800"),0)),"hh:mm"),""))</f>
        <v>Riposo</v>
      </c>
      <c r="D29" s="15" t="str" cm="1">
        <f t="array" aca="1" ref="D29" ca="1">+IF(IFERROR(TEXT(INDEX(INDIRECT("Pianificazione!e1:e800"),MATCH($A29&amp;D$1,INDIRECT("Pianificazione!c1:c800")&amp;INDIRECT("Pianificazione!a1:a800"),0)),"hh:mm"),"")&amp;"-"&amp;IFERROR(TEXT(INDEX(INDIRECT("Pianificazione!f1:f800"),MATCH($A29&amp;D$1,INDIRECT("Pianificazione!c1:c800")&amp;INDIRECT("Pianificazione!a1:a800"),0)),"hh:mm"),"")="-","Riposo",IFERROR(TEXT(INDEX(INDIRECT("Pianificazione!e1:e800"),MATCH($A29&amp;D$1,INDIRECT("Pianificazione!c1:c800")&amp;INDIRECT("Pianificazione!a1:a800"),0)),"hh:mm"),"")&amp;"-"&amp;IFERROR(TEXT(INDEX(INDIRECT("Pianificazione!f1:f800"),MATCH($A29&amp;D$1,INDIRECT("Pianificazione!c1:c800")&amp;INDIRECT("Pianificazione!a1:a800"),0)),"hh:mm"),""))</f>
        <v>Riposo</v>
      </c>
      <c r="E29" s="15" t="str" cm="1">
        <f t="array" aca="1" ref="E29" ca="1">+IF(IFERROR(TEXT(INDEX(INDIRECT("Pianificazione!e1:e800"),MATCH($A29&amp;E$1,INDIRECT("Pianificazione!c1:c800")&amp;INDIRECT("Pianificazione!a1:a800"),0)),"hh:mm"),"")&amp;"-"&amp;IFERROR(TEXT(INDEX(INDIRECT("Pianificazione!f1:f800"),MATCH($A29&amp;E$1,INDIRECT("Pianificazione!c1:c800")&amp;INDIRECT("Pianificazione!a1:a800"),0)),"hh:mm"),"")="-","Riposo",IFERROR(TEXT(INDEX(INDIRECT("Pianificazione!e1:e800"),MATCH($A29&amp;E$1,INDIRECT("Pianificazione!c1:c800")&amp;INDIRECT("Pianificazione!a1:a800"),0)),"hh:mm"),"")&amp;"-"&amp;IFERROR(TEXT(INDEX(INDIRECT("Pianificazione!f1:f800"),MATCH($A29&amp;E$1,INDIRECT("Pianificazione!c1:c800")&amp;INDIRECT("Pianificazione!a1:a800"),0)),"hh:mm"),""))</f>
        <v>Riposo</v>
      </c>
      <c r="F29" s="15" t="str" cm="1">
        <f t="array" aca="1" ref="F29" ca="1">+IF(IFERROR(TEXT(INDEX(INDIRECT("Pianificazione!e1:e800"),MATCH($A29&amp;F$1,INDIRECT("Pianificazione!c1:c800")&amp;INDIRECT("Pianificazione!a1:a800"),0)),"hh:mm"),"")&amp;"-"&amp;IFERROR(TEXT(INDEX(INDIRECT("Pianificazione!f1:f800"),MATCH($A29&amp;F$1,INDIRECT("Pianificazione!c1:c800")&amp;INDIRECT("Pianificazione!a1:a800"),0)),"hh:mm"),"")="-","Riposo",IFERROR(TEXT(INDEX(INDIRECT("Pianificazione!e1:e800"),MATCH($A29&amp;F$1,INDIRECT("Pianificazione!c1:c800")&amp;INDIRECT("Pianificazione!a1:a800"),0)),"hh:mm"),"")&amp;"-"&amp;IFERROR(TEXT(INDEX(INDIRECT("Pianificazione!f1:f800"),MATCH($A29&amp;F$1,INDIRECT("Pianificazione!c1:c800")&amp;INDIRECT("Pianificazione!a1:a800"),0)),"hh:mm"),""))</f>
        <v>Riposo</v>
      </c>
      <c r="G29" s="15" t="str" cm="1">
        <f t="array" aca="1" ref="G29" ca="1">+IF(IFERROR(TEXT(INDEX(INDIRECT("Pianificazione!e1:e800"),MATCH($A29&amp;G$1,INDIRECT("Pianificazione!c1:c800")&amp;INDIRECT("Pianificazione!a1:a800"),0)),"hh:mm"),"")&amp;"-"&amp;IFERROR(TEXT(INDEX(INDIRECT("Pianificazione!f1:f800"),MATCH($A29&amp;G$1,INDIRECT("Pianificazione!c1:c800")&amp;INDIRECT("Pianificazione!a1:a800"),0)),"hh:mm"),"")="-","Riposo",IFERROR(TEXT(INDEX(INDIRECT("Pianificazione!e1:e800"),MATCH($A29&amp;G$1,INDIRECT("Pianificazione!c1:c800")&amp;INDIRECT("Pianificazione!a1:a800"),0)),"hh:mm"),"")&amp;"-"&amp;IFERROR(TEXT(INDEX(INDIRECT("Pianificazione!f1:f800"),MATCH($A29&amp;G$1,INDIRECT("Pianificazione!c1:c800")&amp;INDIRECT("Pianificazione!a1:a800"),0)),"hh:mm"),""))</f>
        <v>Riposo</v>
      </c>
      <c r="H29" s="15" t="str" cm="1">
        <f t="array" aca="1" ref="H29" ca="1">+IF(IFERROR(TEXT(INDEX(INDIRECT("Pianificazione!e1:e800"),MATCH($A29&amp;H$1,INDIRECT("Pianificazione!c1:c800")&amp;INDIRECT("Pianificazione!a1:a800"),0)),"hh:mm"),"")&amp;"-"&amp;IFERROR(TEXT(INDEX(INDIRECT("Pianificazione!f1:f800"),MATCH($A29&amp;H$1,INDIRECT("Pianificazione!c1:c800")&amp;INDIRECT("Pianificazione!a1:a800"),0)),"hh:mm"),"")="-","Riposo",IFERROR(TEXT(INDEX(INDIRECT("Pianificazione!e1:e800"),MATCH($A29&amp;H$1,INDIRECT("Pianificazione!c1:c800")&amp;INDIRECT("Pianificazione!a1:a800"),0)),"hh:mm"),"")&amp;"-"&amp;IFERROR(TEXT(INDEX(INDIRECT("Pianificazione!f1:f800"),MATCH($A29&amp;H$1,INDIRECT("Pianificazione!c1:c800")&amp;INDIRECT("Pianificazione!a1:a800"),0)),"hh:mm"),""))</f>
        <v>Riposo</v>
      </c>
      <c r="J29" s="4">
        <v>1</v>
      </c>
    </row>
    <row r="30" spans="1:10">
      <c r="A30" t="str">
        <f>+Risorse!B30</f>
        <v>Gibilaro Letizia</v>
      </c>
      <c r="B30" s="15" t="str" cm="1">
        <f t="array" aca="1" ref="B30" ca="1">+IF(IFERROR(TEXT(INDEX(INDIRECT("Pianificazione!e1:e800"),MATCH($A30&amp;B$1,INDIRECT("Pianificazione!c1:c800")&amp;INDIRECT("Pianificazione!a1:a800"),0)),"hh:mm"),"")&amp;"-"&amp;IFERROR(TEXT(INDEX(INDIRECT("Pianificazione!f1:f800"),MATCH($A30&amp;B$1,INDIRECT("Pianificazione!c1:c800")&amp;INDIRECT("Pianificazione!a1:a800"),0)),"hh:mm"),"")="-","Riposo",IFERROR(TEXT(INDEX(INDIRECT("Pianificazione!e1:e800"),MATCH($A30&amp;B$1,INDIRECT("Pianificazione!c1:c800")&amp;INDIRECT("Pianificazione!a1:a800"),0)),"hh:mm"),"")&amp;"-"&amp;IFERROR(TEXT(INDEX(INDIRECT("Pianificazione!f1:f800"),MATCH($A30&amp;B$1,INDIRECT("Pianificazione!c1:c800")&amp;INDIRECT("Pianificazione!a1:a800"),0)),"hh:mm"),""))</f>
        <v>Riposo</v>
      </c>
      <c r="C30" s="15" t="str" cm="1">
        <f t="array" aca="1" ref="C30" ca="1">+IF(IFERROR(TEXT(INDEX(INDIRECT("Pianificazione!e1:e800"),MATCH($A30&amp;C$1,INDIRECT("Pianificazione!c1:c800")&amp;INDIRECT("Pianificazione!a1:a800"),0)),"hh:mm"),"")&amp;"-"&amp;IFERROR(TEXT(INDEX(INDIRECT("Pianificazione!f1:f800"),MATCH($A30&amp;C$1,INDIRECT("Pianificazione!c1:c800")&amp;INDIRECT("Pianificazione!a1:a800"),0)),"hh:mm"),"")="-","Riposo",IFERROR(TEXT(INDEX(INDIRECT("Pianificazione!e1:e800"),MATCH($A30&amp;C$1,INDIRECT("Pianificazione!c1:c800")&amp;INDIRECT("Pianificazione!a1:a800"),0)),"hh:mm"),"")&amp;"-"&amp;IFERROR(TEXT(INDEX(INDIRECT("Pianificazione!f1:f800"),MATCH($A30&amp;C$1,INDIRECT("Pianificazione!c1:c800")&amp;INDIRECT("Pianificazione!a1:a800"),0)),"hh:mm"),""))</f>
        <v>Riposo</v>
      </c>
      <c r="D30" s="15" t="str" cm="1">
        <f t="array" aca="1" ref="D30" ca="1">+IF(IFERROR(TEXT(INDEX(INDIRECT("Pianificazione!e1:e800"),MATCH($A30&amp;D$1,INDIRECT("Pianificazione!c1:c800")&amp;INDIRECT("Pianificazione!a1:a800"),0)),"hh:mm"),"")&amp;"-"&amp;IFERROR(TEXT(INDEX(INDIRECT("Pianificazione!f1:f800"),MATCH($A30&amp;D$1,INDIRECT("Pianificazione!c1:c800")&amp;INDIRECT("Pianificazione!a1:a800"),0)),"hh:mm"),"")="-","Riposo",IFERROR(TEXT(INDEX(INDIRECT("Pianificazione!e1:e800"),MATCH($A30&amp;D$1,INDIRECT("Pianificazione!c1:c800")&amp;INDIRECT("Pianificazione!a1:a800"),0)),"hh:mm"),"")&amp;"-"&amp;IFERROR(TEXT(INDEX(INDIRECT("Pianificazione!f1:f800"),MATCH($A30&amp;D$1,INDIRECT("Pianificazione!c1:c800")&amp;INDIRECT("Pianificazione!a1:a800"),0)),"hh:mm"),""))</f>
        <v>Riposo</v>
      </c>
      <c r="E30" s="15" t="str" cm="1">
        <f t="array" aca="1" ref="E30" ca="1">+IF(IFERROR(TEXT(INDEX(INDIRECT("Pianificazione!e1:e800"),MATCH($A30&amp;E$1,INDIRECT("Pianificazione!c1:c800")&amp;INDIRECT("Pianificazione!a1:a800"),0)),"hh:mm"),"")&amp;"-"&amp;IFERROR(TEXT(INDEX(INDIRECT("Pianificazione!f1:f800"),MATCH($A30&amp;E$1,INDIRECT("Pianificazione!c1:c800")&amp;INDIRECT("Pianificazione!a1:a800"),0)),"hh:mm"),"")="-","Riposo",IFERROR(TEXT(INDEX(INDIRECT("Pianificazione!e1:e800"),MATCH($A30&amp;E$1,INDIRECT("Pianificazione!c1:c800")&amp;INDIRECT("Pianificazione!a1:a800"),0)),"hh:mm"),"")&amp;"-"&amp;IFERROR(TEXT(INDEX(INDIRECT("Pianificazione!f1:f800"),MATCH($A30&amp;E$1,INDIRECT("Pianificazione!c1:c800")&amp;INDIRECT("Pianificazione!a1:a800"),0)),"hh:mm"),""))</f>
        <v>Riposo</v>
      </c>
      <c r="F30" s="15" t="str" cm="1">
        <f t="array" aca="1" ref="F30" ca="1">+IF(IFERROR(TEXT(INDEX(INDIRECT("Pianificazione!e1:e800"),MATCH($A30&amp;F$1,INDIRECT("Pianificazione!c1:c800")&amp;INDIRECT("Pianificazione!a1:a800"),0)),"hh:mm"),"")&amp;"-"&amp;IFERROR(TEXT(INDEX(INDIRECT("Pianificazione!f1:f800"),MATCH($A30&amp;F$1,INDIRECT("Pianificazione!c1:c800")&amp;INDIRECT("Pianificazione!a1:a800"),0)),"hh:mm"),"")="-","Riposo",IFERROR(TEXT(INDEX(INDIRECT("Pianificazione!e1:e800"),MATCH($A30&amp;F$1,INDIRECT("Pianificazione!c1:c800")&amp;INDIRECT("Pianificazione!a1:a800"),0)),"hh:mm"),"")&amp;"-"&amp;IFERROR(TEXT(INDEX(INDIRECT("Pianificazione!f1:f800"),MATCH($A30&amp;F$1,INDIRECT("Pianificazione!c1:c800")&amp;INDIRECT("Pianificazione!a1:a800"),0)),"hh:mm"),""))</f>
        <v>Riposo</v>
      </c>
      <c r="G30" s="15" t="str" cm="1">
        <f t="array" aca="1" ref="G30" ca="1">+IF(IFERROR(TEXT(INDEX(INDIRECT("Pianificazione!e1:e800"),MATCH($A30&amp;G$1,INDIRECT("Pianificazione!c1:c800")&amp;INDIRECT("Pianificazione!a1:a800"),0)),"hh:mm"),"")&amp;"-"&amp;IFERROR(TEXT(INDEX(INDIRECT("Pianificazione!f1:f800"),MATCH($A30&amp;G$1,INDIRECT("Pianificazione!c1:c800")&amp;INDIRECT("Pianificazione!a1:a800"),0)),"hh:mm"),"")="-","Riposo",IFERROR(TEXT(INDEX(INDIRECT("Pianificazione!e1:e800"),MATCH($A30&amp;G$1,INDIRECT("Pianificazione!c1:c800")&amp;INDIRECT("Pianificazione!a1:a800"),0)),"hh:mm"),"")&amp;"-"&amp;IFERROR(TEXT(INDEX(INDIRECT("Pianificazione!f1:f800"),MATCH($A30&amp;G$1,INDIRECT("Pianificazione!c1:c800")&amp;INDIRECT("Pianificazione!a1:a800"),0)),"hh:mm"),""))</f>
        <v>Riposo</v>
      </c>
      <c r="H30" s="15" t="str" cm="1">
        <f t="array" aca="1" ref="H30" ca="1">+IF(IFERROR(TEXT(INDEX(INDIRECT("Pianificazione!e1:e800"),MATCH($A30&amp;H$1,INDIRECT("Pianificazione!c1:c800")&amp;INDIRECT("Pianificazione!a1:a800"),0)),"hh:mm"),"")&amp;"-"&amp;IFERROR(TEXT(INDEX(INDIRECT("Pianificazione!f1:f800"),MATCH($A30&amp;H$1,INDIRECT("Pianificazione!c1:c800")&amp;INDIRECT("Pianificazione!a1:a800"),0)),"hh:mm"),"")="-","Riposo",IFERROR(TEXT(INDEX(INDIRECT("Pianificazione!e1:e800"),MATCH($A30&amp;H$1,INDIRECT("Pianificazione!c1:c800")&amp;INDIRECT("Pianificazione!a1:a800"),0)),"hh:mm"),"")&amp;"-"&amp;IFERROR(TEXT(INDEX(INDIRECT("Pianificazione!f1:f800"),MATCH($A30&amp;H$1,INDIRECT("Pianificazione!c1:c800")&amp;INDIRECT("Pianificazione!a1:a800"),0)),"hh:mm"),""))</f>
        <v>Riposo</v>
      </c>
    </row>
    <row r="31" spans="1:10">
      <c r="A31" t="str">
        <f>+Risorse!B31</f>
        <v>La Barca Valentina</v>
      </c>
      <c r="B31" s="15" t="str" cm="1">
        <f t="array" aca="1" ref="B31" ca="1">+IF(IFERROR(TEXT(INDEX(INDIRECT("Pianificazione!e1:e800"),MATCH($A31&amp;B$1,INDIRECT("Pianificazione!c1:c800")&amp;INDIRECT("Pianificazione!a1:a800"),0)),"hh:mm"),"")&amp;"-"&amp;IFERROR(TEXT(INDEX(INDIRECT("Pianificazione!f1:f800"),MATCH($A31&amp;B$1,INDIRECT("Pianificazione!c1:c800")&amp;INDIRECT("Pianificazione!a1:a800"),0)),"hh:mm"),"")="-","Riposo",IFERROR(TEXT(INDEX(INDIRECT("Pianificazione!e1:e800"),MATCH($A31&amp;B$1,INDIRECT("Pianificazione!c1:c800")&amp;INDIRECT("Pianificazione!a1:a800"),0)),"hh:mm"),"")&amp;"-"&amp;IFERROR(TEXT(INDEX(INDIRECT("Pianificazione!f1:f800"),MATCH($A31&amp;B$1,INDIRECT("Pianificazione!c1:c800")&amp;INDIRECT("Pianificazione!a1:a800"),0)),"hh:mm"),""))</f>
        <v>Riposo</v>
      </c>
      <c r="C31" s="15" t="str" cm="1">
        <f t="array" aca="1" ref="C31" ca="1">+IF(IFERROR(TEXT(INDEX(INDIRECT("Pianificazione!e1:e800"),MATCH($A31&amp;C$1,INDIRECT("Pianificazione!c1:c800")&amp;INDIRECT("Pianificazione!a1:a800"),0)),"hh:mm"),"")&amp;"-"&amp;IFERROR(TEXT(INDEX(INDIRECT("Pianificazione!f1:f800"),MATCH($A31&amp;C$1,INDIRECT("Pianificazione!c1:c800")&amp;INDIRECT("Pianificazione!a1:a800"),0)),"hh:mm"),"")="-","Riposo",IFERROR(TEXT(INDEX(INDIRECT("Pianificazione!e1:e800"),MATCH($A31&amp;C$1,INDIRECT("Pianificazione!c1:c800")&amp;INDIRECT("Pianificazione!a1:a800"),0)),"hh:mm"),"")&amp;"-"&amp;IFERROR(TEXT(INDEX(INDIRECT("Pianificazione!f1:f800"),MATCH($A31&amp;C$1,INDIRECT("Pianificazione!c1:c800")&amp;INDIRECT("Pianificazione!a1:a800"),0)),"hh:mm"),""))</f>
        <v>Riposo</v>
      </c>
      <c r="D31" s="15" t="str" cm="1">
        <f t="array" aca="1" ref="D31" ca="1">+IF(IFERROR(TEXT(INDEX(INDIRECT("Pianificazione!e1:e800"),MATCH($A31&amp;D$1,INDIRECT("Pianificazione!c1:c800")&amp;INDIRECT("Pianificazione!a1:a800"),0)),"hh:mm"),"")&amp;"-"&amp;IFERROR(TEXT(INDEX(INDIRECT("Pianificazione!f1:f800"),MATCH($A31&amp;D$1,INDIRECT("Pianificazione!c1:c800")&amp;INDIRECT("Pianificazione!a1:a800"),0)),"hh:mm"),"")="-","Riposo",IFERROR(TEXT(INDEX(INDIRECT("Pianificazione!e1:e800"),MATCH($A31&amp;D$1,INDIRECT("Pianificazione!c1:c800")&amp;INDIRECT("Pianificazione!a1:a800"),0)),"hh:mm"),"")&amp;"-"&amp;IFERROR(TEXT(INDEX(INDIRECT("Pianificazione!f1:f800"),MATCH($A31&amp;D$1,INDIRECT("Pianificazione!c1:c800")&amp;INDIRECT("Pianificazione!a1:a800"),0)),"hh:mm"),""))</f>
        <v>Riposo</v>
      </c>
      <c r="E31" s="15" t="str" cm="1">
        <f t="array" aca="1" ref="E31" ca="1">+IF(IFERROR(TEXT(INDEX(INDIRECT("Pianificazione!e1:e800"),MATCH($A31&amp;E$1,INDIRECT("Pianificazione!c1:c800")&amp;INDIRECT("Pianificazione!a1:a800"),0)),"hh:mm"),"")&amp;"-"&amp;IFERROR(TEXT(INDEX(INDIRECT("Pianificazione!f1:f800"),MATCH($A31&amp;E$1,INDIRECT("Pianificazione!c1:c800")&amp;INDIRECT("Pianificazione!a1:a800"),0)),"hh:mm"),"")="-","Riposo",IFERROR(TEXT(INDEX(INDIRECT("Pianificazione!e1:e800"),MATCH($A31&amp;E$1,INDIRECT("Pianificazione!c1:c800")&amp;INDIRECT("Pianificazione!a1:a800"),0)),"hh:mm"),"")&amp;"-"&amp;IFERROR(TEXT(INDEX(INDIRECT("Pianificazione!f1:f800"),MATCH($A31&amp;E$1,INDIRECT("Pianificazione!c1:c800")&amp;INDIRECT("Pianificazione!a1:a800"),0)),"hh:mm"),""))</f>
        <v>Riposo</v>
      </c>
      <c r="F31" s="15" t="str" cm="1">
        <f t="array" aca="1" ref="F31" ca="1">+IF(IFERROR(TEXT(INDEX(INDIRECT("Pianificazione!e1:e800"),MATCH($A31&amp;F$1,INDIRECT("Pianificazione!c1:c800")&amp;INDIRECT("Pianificazione!a1:a800"),0)),"hh:mm"),"")&amp;"-"&amp;IFERROR(TEXT(INDEX(INDIRECT("Pianificazione!f1:f800"),MATCH($A31&amp;F$1,INDIRECT("Pianificazione!c1:c800")&amp;INDIRECT("Pianificazione!a1:a800"),0)),"hh:mm"),"")="-","Riposo",IFERROR(TEXT(INDEX(INDIRECT("Pianificazione!e1:e800"),MATCH($A31&amp;F$1,INDIRECT("Pianificazione!c1:c800")&amp;INDIRECT("Pianificazione!a1:a800"),0)),"hh:mm"),"")&amp;"-"&amp;IFERROR(TEXT(INDEX(INDIRECT("Pianificazione!f1:f800"),MATCH($A31&amp;F$1,INDIRECT("Pianificazione!c1:c800")&amp;INDIRECT("Pianificazione!a1:a800"),0)),"hh:mm"),""))</f>
        <v>Riposo</v>
      </c>
      <c r="G31" s="15" t="str" cm="1">
        <f t="array" aca="1" ref="G31" ca="1">+IF(IFERROR(TEXT(INDEX(INDIRECT("Pianificazione!e1:e800"),MATCH($A31&amp;G$1,INDIRECT("Pianificazione!c1:c800")&amp;INDIRECT("Pianificazione!a1:a800"),0)),"hh:mm"),"")&amp;"-"&amp;IFERROR(TEXT(INDEX(INDIRECT("Pianificazione!f1:f800"),MATCH($A31&amp;G$1,INDIRECT("Pianificazione!c1:c800")&amp;INDIRECT("Pianificazione!a1:a800"),0)),"hh:mm"),"")="-","Riposo",IFERROR(TEXT(INDEX(INDIRECT("Pianificazione!e1:e800"),MATCH($A31&amp;G$1,INDIRECT("Pianificazione!c1:c800")&amp;INDIRECT("Pianificazione!a1:a800"),0)),"hh:mm"),"")&amp;"-"&amp;IFERROR(TEXT(INDEX(INDIRECT("Pianificazione!f1:f800"),MATCH($A31&amp;G$1,INDIRECT("Pianificazione!c1:c800")&amp;INDIRECT("Pianificazione!a1:a800"),0)),"hh:mm"),""))</f>
        <v>Riposo</v>
      </c>
      <c r="H31" s="15" t="str" cm="1">
        <f t="array" aca="1" ref="H31" ca="1">+IF(IFERROR(TEXT(INDEX(INDIRECT("Pianificazione!e1:e800"),MATCH($A31&amp;H$1,INDIRECT("Pianificazione!c1:c800")&amp;INDIRECT("Pianificazione!a1:a800"),0)),"hh:mm"),"")&amp;"-"&amp;IFERROR(TEXT(INDEX(INDIRECT("Pianificazione!f1:f800"),MATCH($A31&amp;H$1,INDIRECT("Pianificazione!c1:c800")&amp;INDIRECT("Pianificazione!a1:a800"),0)),"hh:mm"),"")="-","Riposo",IFERROR(TEXT(INDEX(INDIRECT("Pianificazione!e1:e800"),MATCH($A31&amp;H$1,INDIRECT("Pianificazione!c1:c800")&amp;INDIRECT("Pianificazione!a1:a800"),0)),"hh:mm"),"")&amp;"-"&amp;IFERROR(TEXT(INDEX(INDIRECT("Pianificazione!f1:f800"),MATCH($A31&amp;H$1,INDIRECT("Pianificazione!c1:c800")&amp;INDIRECT("Pianificazione!a1:a800"),0)),"hh:mm"),""))</f>
        <v>Riposo</v>
      </c>
    </row>
    <row r="32" spans="1:10">
      <c r="A32" t="str">
        <f>+Risorse!B32</f>
        <v>La Versa Loredana</v>
      </c>
      <c r="B32" s="15" t="str" cm="1">
        <f t="array" aca="1" ref="B32" ca="1">+IF(IFERROR(TEXT(INDEX(INDIRECT("Pianificazione!e1:e800"),MATCH($A32&amp;B$1,INDIRECT("Pianificazione!c1:c800")&amp;INDIRECT("Pianificazione!a1:a800"),0)),"hh:mm"),"")&amp;"-"&amp;IFERROR(TEXT(INDEX(INDIRECT("Pianificazione!f1:f800"),MATCH($A32&amp;B$1,INDIRECT("Pianificazione!c1:c800")&amp;INDIRECT("Pianificazione!a1:a800"),0)),"hh:mm"),"")="-","Riposo",IFERROR(TEXT(INDEX(INDIRECT("Pianificazione!e1:e800"),MATCH($A32&amp;B$1,INDIRECT("Pianificazione!c1:c800")&amp;INDIRECT("Pianificazione!a1:a800"),0)),"hh:mm"),"")&amp;"-"&amp;IFERROR(TEXT(INDEX(INDIRECT("Pianificazione!f1:f800"),MATCH($A32&amp;B$1,INDIRECT("Pianificazione!c1:c800")&amp;INDIRECT("Pianificazione!a1:a800"),0)),"hh:mm"),""))</f>
        <v>Riposo</v>
      </c>
      <c r="C32" s="15" t="str" cm="1">
        <f t="array" aca="1" ref="C32" ca="1">+IF(IFERROR(TEXT(INDEX(INDIRECT("Pianificazione!e1:e800"),MATCH($A32&amp;C$1,INDIRECT("Pianificazione!c1:c800")&amp;INDIRECT("Pianificazione!a1:a800"),0)),"hh:mm"),"")&amp;"-"&amp;IFERROR(TEXT(INDEX(INDIRECT("Pianificazione!f1:f800"),MATCH($A32&amp;C$1,INDIRECT("Pianificazione!c1:c800")&amp;INDIRECT("Pianificazione!a1:a800"),0)),"hh:mm"),"")="-","Riposo",IFERROR(TEXT(INDEX(INDIRECT("Pianificazione!e1:e800"),MATCH($A32&amp;C$1,INDIRECT("Pianificazione!c1:c800")&amp;INDIRECT("Pianificazione!a1:a800"),0)),"hh:mm"),"")&amp;"-"&amp;IFERROR(TEXT(INDEX(INDIRECT("Pianificazione!f1:f800"),MATCH($A32&amp;C$1,INDIRECT("Pianificazione!c1:c800")&amp;INDIRECT("Pianificazione!a1:a800"),0)),"hh:mm"),""))</f>
        <v>Riposo</v>
      </c>
      <c r="D32" s="15" t="str" cm="1">
        <f t="array" aca="1" ref="D32" ca="1">+IF(IFERROR(TEXT(INDEX(INDIRECT("Pianificazione!e1:e800"),MATCH($A32&amp;D$1,INDIRECT("Pianificazione!c1:c800")&amp;INDIRECT("Pianificazione!a1:a800"),0)),"hh:mm"),"")&amp;"-"&amp;IFERROR(TEXT(INDEX(INDIRECT("Pianificazione!f1:f800"),MATCH($A32&amp;D$1,INDIRECT("Pianificazione!c1:c800")&amp;INDIRECT("Pianificazione!a1:a800"),0)),"hh:mm"),"")="-","Riposo",IFERROR(TEXT(INDEX(INDIRECT("Pianificazione!e1:e800"),MATCH($A32&amp;D$1,INDIRECT("Pianificazione!c1:c800")&amp;INDIRECT("Pianificazione!a1:a800"),0)),"hh:mm"),"")&amp;"-"&amp;IFERROR(TEXT(INDEX(INDIRECT("Pianificazione!f1:f800"),MATCH($A32&amp;D$1,INDIRECT("Pianificazione!c1:c800")&amp;INDIRECT("Pianificazione!a1:a800"),0)),"hh:mm"),""))</f>
        <v>Riposo</v>
      </c>
      <c r="E32" s="15" t="str" cm="1">
        <f t="array" aca="1" ref="E32" ca="1">+IF(IFERROR(TEXT(INDEX(INDIRECT("Pianificazione!e1:e800"),MATCH($A32&amp;E$1,INDIRECT("Pianificazione!c1:c800")&amp;INDIRECT("Pianificazione!a1:a800"),0)),"hh:mm"),"")&amp;"-"&amp;IFERROR(TEXT(INDEX(INDIRECT("Pianificazione!f1:f800"),MATCH($A32&amp;E$1,INDIRECT("Pianificazione!c1:c800")&amp;INDIRECT("Pianificazione!a1:a800"),0)),"hh:mm"),"")="-","Riposo",IFERROR(TEXT(INDEX(INDIRECT("Pianificazione!e1:e800"),MATCH($A32&amp;E$1,INDIRECT("Pianificazione!c1:c800")&amp;INDIRECT("Pianificazione!a1:a800"),0)),"hh:mm"),"")&amp;"-"&amp;IFERROR(TEXT(INDEX(INDIRECT("Pianificazione!f1:f800"),MATCH($A32&amp;E$1,INDIRECT("Pianificazione!c1:c800")&amp;INDIRECT("Pianificazione!a1:a800"),0)),"hh:mm"),""))</f>
        <v>Riposo</v>
      </c>
      <c r="F32" s="15" t="str" cm="1">
        <f t="array" aca="1" ref="F32" ca="1">+IF(IFERROR(TEXT(INDEX(INDIRECT("Pianificazione!e1:e800"),MATCH($A32&amp;F$1,INDIRECT("Pianificazione!c1:c800")&amp;INDIRECT("Pianificazione!a1:a800"),0)),"hh:mm"),"")&amp;"-"&amp;IFERROR(TEXT(INDEX(INDIRECT("Pianificazione!f1:f800"),MATCH($A32&amp;F$1,INDIRECT("Pianificazione!c1:c800")&amp;INDIRECT("Pianificazione!a1:a800"),0)),"hh:mm"),"")="-","Riposo",IFERROR(TEXT(INDEX(INDIRECT("Pianificazione!e1:e800"),MATCH($A32&amp;F$1,INDIRECT("Pianificazione!c1:c800")&amp;INDIRECT("Pianificazione!a1:a800"),0)),"hh:mm"),"")&amp;"-"&amp;IFERROR(TEXT(INDEX(INDIRECT("Pianificazione!f1:f800"),MATCH($A32&amp;F$1,INDIRECT("Pianificazione!c1:c800")&amp;INDIRECT("Pianificazione!a1:a800"),0)),"hh:mm"),""))</f>
        <v>Riposo</v>
      </c>
      <c r="G32" s="15" t="str" cm="1">
        <f t="array" aca="1" ref="G32" ca="1">+IF(IFERROR(TEXT(INDEX(INDIRECT("Pianificazione!e1:e800"),MATCH($A32&amp;G$1,INDIRECT("Pianificazione!c1:c800")&amp;INDIRECT("Pianificazione!a1:a800"),0)),"hh:mm"),"")&amp;"-"&amp;IFERROR(TEXT(INDEX(INDIRECT("Pianificazione!f1:f800"),MATCH($A32&amp;G$1,INDIRECT("Pianificazione!c1:c800")&amp;INDIRECT("Pianificazione!a1:a800"),0)),"hh:mm"),"")="-","Riposo",IFERROR(TEXT(INDEX(INDIRECT("Pianificazione!e1:e800"),MATCH($A32&amp;G$1,INDIRECT("Pianificazione!c1:c800")&amp;INDIRECT("Pianificazione!a1:a800"),0)),"hh:mm"),"")&amp;"-"&amp;IFERROR(TEXT(INDEX(INDIRECT("Pianificazione!f1:f800"),MATCH($A32&amp;G$1,INDIRECT("Pianificazione!c1:c800")&amp;INDIRECT("Pianificazione!a1:a800"),0)),"hh:mm"),""))</f>
        <v>Riposo</v>
      </c>
      <c r="H32" s="15" t="str" cm="1">
        <f t="array" aca="1" ref="H32" ca="1">+IF(IFERROR(TEXT(INDEX(INDIRECT("Pianificazione!e1:e800"),MATCH($A32&amp;H$1,INDIRECT("Pianificazione!c1:c800")&amp;INDIRECT("Pianificazione!a1:a800"),0)),"hh:mm"),"")&amp;"-"&amp;IFERROR(TEXT(INDEX(INDIRECT("Pianificazione!f1:f800"),MATCH($A32&amp;H$1,INDIRECT("Pianificazione!c1:c800")&amp;INDIRECT("Pianificazione!a1:a800"),0)),"hh:mm"),"")="-","Riposo",IFERROR(TEXT(INDEX(INDIRECT("Pianificazione!e1:e800"),MATCH($A32&amp;H$1,INDIRECT("Pianificazione!c1:c800")&amp;INDIRECT("Pianificazione!a1:a800"),0)),"hh:mm"),"")&amp;"-"&amp;IFERROR(TEXT(INDEX(INDIRECT("Pianificazione!f1:f800"),MATCH($A32&amp;H$1,INDIRECT("Pianificazione!c1:c800")&amp;INDIRECT("Pianificazione!a1:a800"),0)),"hh:mm"),""))</f>
        <v>Riposo</v>
      </c>
    </row>
    <row r="33" spans="1:8">
      <c r="A33" t="str">
        <f>+Risorse!B33</f>
        <v>Liberto Maria</v>
      </c>
      <c r="B33" s="15" t="str" cm="1">
        <f t="array" aca="1" ref="B33" ca="1">+IF(IFERROR(TEXT(INDEX(INDIRECT("Pianificazione!e1:e800"),MATCH($A33&amp;B$1,INDIRECT("Pianificazione!c1:c800")&amp;INDIRECT("Pianificazione!a1:a800"),0)),"hh:mm"),"")&amp;"-"&amp;IFERROR(TEXT(INDEX(INDIRECT("Pianificazione!f1:f800"),MATCH($A33&amp;B$1,INDIRECT("Pianificazione!c1:c800")&amp;INDIRECT("Pianificazione!a1:a800"),0)),"hh:mm"),"")="-","Riposo",IFERROR(TEXT(INDEX(INDIRECT("Pianificazione!e1:e800"),MATCH($A33&amp;B$1,INDIRECT("Pianificazione!c1:c800")&amp;INDIRECT("Pianificazione!a1:a800"),0)),"hh:mm"),"")&amp;"-"&amp;IFERROR(TEXT(INDEX(INDIRECT("Pianificazione!f1:f800"),MATCH($A33&amp;B$1,INDIRECT("Pianificazione!c1:c800")&amp;INDIRECT("Pianificazione!a1:a800"),0)),"hh:mm"),""))</f>
        <v>Riposo</v>
      </c>
      <c r="C33" s="15" t="str" cm="1">
        <f t="array" aca="1" ref="C33" ca="1">+IF(IFERROR(TEXT(INDEX(INDIRECT("Pianificazione!e1:e800"),MATCH($A33&amp;C$1,INDIRECT("Pianificazione!c1:c800")&amp;INDIRECT("Pianificazione!a1:a800"),0)),"hh:mm"),"")&amp;"-"&amp;IFERROR(TEXT(INDEX(INDIRECT("Pianificazione!f1:f800"),MATCH($A33&amp;C$1,INDIRECT("Pianificazione!c1:c800")&amp;INDIRECT("Pianificazione!a1:a800"),0)),"hh:mm"),"")="-","Riposo",IFERROR(TEXT(INDEX(INDIRECT("Pianificazione!e1:e800"),MATCH($A33&amp;C$1,INDIRECT("Pianificazione!c1:c800")&amp;INDIRECT("Pianificazione!a1:a800"),0)),"hh:mm"),"")&amp;"-"&amp;IFERROR(TEXT(INDEX(INDIRECT("Pianificazione!f1:f800"),MATCH($A33&amp;C$1,INDIRECT("Pianificazione!c1:c800")&amp;INDIRECT("Pianificazione!a1:a800"),0)),"hh:mm"),""))</f>
        <v>Riposo</v>
      </c>
      <c r="D33" s="15" t="str" cm="1">
        <f t="array" aca="1" ref="D33" ca="1">+IF(IFERROR(TEXT(INDEX(INDIRECT("Pianificazione!e1:e800"),MATCH($A33&amp;D$1,INDIRECT("Pianificazione!c1:c800")&amp;INDIRECT("Pianificazione!a1:a800"),0)),"hh:mm"),"")&amp;"-"&amp;IFERROR(TEXT(INDEX(INDIRECT("Pianificazione!f1:f800"),MATCH($A33&amp;D$1,INDIRECT("Pianificazione!c1:c800")&amp;INDIRECT("Pianificazione!a1:a800"),0)),"hh:mm"),"")="-","Riposo",IFERROR(TEXT(INDEX(INDIRECT("Pianificazione!e1:e800"),MATCH($A33&amp;D$1,INDIRECT("Pianificazione!c1:c800")&amp;INDIRECT("Pianificazione!a1:a800"),0)),"hh:mm"),"")&amp;"-"&amp;IFERROR(TEXT(INDEX(INDIRECT("Pianificazione!f1:f800"),MATCH($A33&amp;D$1,INDIRECT("Pianificazione!c1:c800")&amp;INDIRECT("Pianificazione!a1:a800"),0)),"hh:mm"),""))</f>
        <v>Riposo</v>
      </c>
      <c r="E33" s="15" t="str" cm="1">
        <f t="array" aca="1" ref="E33" ca="1">+IF(IFERROR(TEXT(INDEX(INDIRECT("Pianificazione!e1:e800"),MATCH($A33&amp;E$1,INDIRECT("Pianificazione!c1:c800")&amp;INDIRECT("Pianificazione!a1:a800"),0)),"hh:mm"),"")&amp;"-"&amp;IFERROR(TEXT(INDEX(INDIRECT("Pianificazione!f1:f800"),MATCH($A33&amp;E$1,INDIRECT("Pianificazione!c1:c800")&amp;INDIRECT("Pianificazione!a1:a800"),0)),"hh:mm"),"")="-","Riposo",IFERROR(TEXT(INDEX(INDIRECT("Pianificazione!e1:e800"),MATCH($A33&amp;E$1,INDIRECT("Pianificazione!c1:c800")&amp;INDIRECT("Pianificazione!a1:a800"),0)),"hh:mm"),"")&amp;"-"&amp;IFERROR(TEXT(INDEX(INDIRECT("Pianificazione!f1:f800"),MATCH($A33&amp;E$1,INDIRECT("Pianificazione!c1:c800")&amp;INDIRECT("Pianificazione!a1:a800"),0)),"hh:mm"),""))</f>
        <v>Riposo</v>
      </c>
      <c r="F33" s="15" t="str" cm="1">
        <f t="array" aca="1" ref="F33" ca="1">+IF(IFERROR(TEXT(INDEX(INDIRECT("Pianificazione!e1:e800"),MATCH($A33&amp;F$1,INDIRECT("Pianificazione!c1:c800")&amp;INDIRECT("Pianificazione!a1:a800"),0)),"hh:mm"),"")&amp;"-"&amp;IFERROR(TEXT(INDEX(INDIRECT("Pianificazione!f1:f800"),MATCH($A33&amp;F$1,INDIRECT("Pianificazione!c1:c800")&amp;INDIRECT("Pianificazione!a1:a800"),0)),"hh:mm"),"")="-","Riposo",IFERROR(TEXT(INDEX(INDIRECT("Pianificazione!e1:e800"),MATCH($A33&amp;F$1,INDIRECT("Pianificazione!c1:c800")&amp;INDIRECT("Pianificazione!a1:a800"),0)),"hh:mm"),"")&amp;"-"&amp;IFERROR(TEXT(INDEX(INDIRECT("Pianificazione!f1:f800"),MATCH($A33&amp;F$1,INDIRECT("Pianificazione!c1:c800")&amp;INDIRECT("Pianificazione!a1:a800"),0)),"hh:mm"),""))</f>
        <v>Riposo</v>
      </c>
      <c r="G33" s="15" t="str" cm="1">
        <f t="array" aca="1" ref="G33" ca="1">+IF(IFERROR(TEXT(INDEX(INDIRECT("Pianificazione!e1:e800"),MATCH($A33&amp;G$1,INDIRECT("Pianificazione!c1:c800")&amp;INDIRECT("Pianificazione!a1:a800"),0)),"hh:mm"),"")&amp;"-"&amp;IFERROR(TEXT(INDEX(INDIRECT("Pianificazione!f1:f800"),MATCH($A33&amp;G$1,INDIRECT("Pianificazione!c1:c800")&amp;INDIRECT("Pianificazione!a1:a800"),0)),"hh:mm"),"")="-","Riposo",IFERROR(TEXT(INDEX(INDIRECT("Pianificazione!e1:e800"),MATCH($A33&amp;G$1,INDIRECT("Pianificazione!c1:c800")&amp;INDIRECT("Pianificazione!a1:a800"),0)),"hh:mm"),"")&amp;"-"&amp;IFERROR(TEXT(INDEX(INDIRECT("Pianificazione!f1:f800"),MATCH($A33&amp;G$1,INDIRECT("Pianificazione!c1:c800")&amp;INDIRECT("Pianificazione!a1:a800"),0)),"hh:mm"),""))</f>
        <v>Riposo</v>
      </c>
      <c r="H33" s="15" t="str" cm="1">
        <f t="array" aca="1" ref="H33" ca="1">+IF(IFERROR(TEXT(INDEX(INDIRECT("Pianificazione!e1:e800"),MATCH($A33&amp;H$1,INDIRECT("Pianificazione!c1:c800")&amp;INDIRECT("Pianificazione!a1:a800"),0)),"hh:mm"),"")&amp;"-"&amp;IFERROR(TEXT(INDEX(INDIRECT("Pianificazione!f1:f800"),MATCH($A33&amp;H$1,INDIRECT("Pianificazione!c1:c800")&amp;INDIRECT("Pianificazione!a1:a800"),0)),"hh:mm"),"")="-","Riposo",IFERROR(TEXT(INDEX(INDIRECT("Pianificazione!e1:e800"),MATCH($A33&amp;H$1,INDIRECT("Pianificazione!c1:c800")&amp;INDIRECT("Pianificazione!a1:a800"),0)),"hh:mm"),"")&amp;"-"&amp;IFERROR(TEXT(INDEX(INDIRECT("Pianificazione!f1:f800"),MATCH($A33&amp;H$1,INDIRECT("Pianificazione!c1:c800")&amp;INDIRECT("Pianificazione!a1:a800"),0)),"hh:mm"),""))</f>
        <v>Riposo</v>
      </c>
    </row>
    <row r="34" spans="1:8">
      <c r="A34" t="str">
        <f>+Risorse!B34</f>
        <v>Lo Buono Claudia</v>
      </c>
      <c r="B34" s="15" t="str" cm="1">
        <f t="array" aca="1" ref="B34" ca="1">+IF(IFERROR(TEXT(INDEX(INDIRECT("Pianificazione!e1:e800"),MATCH($A34&amp;B$1,INDIRECT("Pianificazione!c1:c800")&amp;INDIRECT("Pianificazione!a1:a800"),0)),"hh:mm"),"")&amp;"-"&amp;IFERROR(TEXT(INDEX(INDIRECT("Pianificazione!f1:f800"),MATCH($A34&amp;B$1,INDIRECT("Pianificazione!c1:c800")&amp;INDIRECT("Pianificazione!a1:a800"),0)),"hh:mm"),"")="-","Riposo",IFERROR(TEXT(INDEX(INDIRECT("Pianificazione!e1:e800"),MATCH($A34&amp;B$1,INDIRECT("Pianificazione!c1:c800")&amp;INDIRECT("Pianificazione!a1:a800"),0)),"hh:mm"),"")&amp;"-"&amp;IFERROR(TEXT(INDEX(INDIRECT("Pianificazione!f1:f800"),MATCH($A34&amp;B$1,INDIRECT("Pianificazione!c1:c800")&amp;INDIRECT("Pianificazione!a1:a800"),0)),"hh:mm"),""))</f>
        <v>Riposo</v>
      </c>
      <c r="C34" s="15" t="str" cm="1">
        <f t="array" aca="1" ref="C34" ca="1">+IF(IFERROR(TEXT(INDEX(INDIRECT("Pianificazione!e1:e800"),MATCH($A34&amp;C$1,INDIRECT("Pianificazione!c1:c800")&amp;INDIRECT("Pianificazione!a1:a800"),0)),"hh:mm"),"")&amp;"-"&amp;IFERROR(TEXT(INDEX(INDIRECT("Pianificazione!f1:f800"),MATCH($A34&amp;C$1,INDIRECT("Pianificazione!c1:c800")&amp;INDIRECT("Pianificazione!a1:a800"),0)),"hh:mm"),"")="-","Riposo",IFERROR(TEXT(INDEX(INDIRECT("Pianificazione!e1:e800"),MATCH($A34&amp;C$1,INDIRECT("Pianificazione!c1:c800")&amp;INDIRECT("Pianificazione!a1:a800"),0)),"hh:mm"),"")&amp;"-"&amp;IFERROR(TEXT(INDEX(INDIRECT("Pianificazione!f1:f800"),MATCH($A34&amp;C$1,INDIRECT("Pianificazione!c1:c800")&amp;INDIRECT("Pianificazione!a1:a800"),0)),"hh:mm"),""))</f>
        <v>Riposo</v>
      </c>
      <c r="D34" s="15" t="str" cm="1">
        <f t="array" aca="1" ref="D34" ca="1">+IF(IFERROR(TEXT(INDEX(INDIRECT("Pianificazione!e1:e800"),MATCH($A34&amp;D$1,INDIRECT("Pianificazione!c1:c800")&amp;INDIRECT("Pianificazione!a1:a800"),0)),"hh:mm"),"")&amp;"-"&amp;IFERROR(TEXT(INDEX(INDIRECT("Pianificazione!f1:f800"),MATCH($A34&amp;D$1,INDIRECT("Pianificazione!c1:c800")&amp;INDIRECT("Pianificazione!a1:a800"),0)),"hh:mm"),"")="-","Riposo",IFERROR(TEXT(INDEX(INDIRECT("Pianificazione!e1:e800"),MATCH($A34&amp;D$1,INDIRECT("Pianificazione!c1:c800")&amp;INDIRECT("Pianificazione!a1:a800"),0)),"hh:mm"),"")&amp;"-"&amp;IFERROR(TEXT(INDEX(INDIRECT("Pianificazione!f1:f800"),MATCH($A34&amp;D$1,INDIRECT("Pianificazione!c1:c800")&amp;INDIRECT("Pianificazione!a1:a800"),0)),"hh:mm"),""))</f>
        <v>Riposo</v>
      </c>
      <c r="E34" s="15" t="str" cm="1">
        <f t="array" aca="1" ref="E34" ca="1">+IF(IFERROR(TEXT(INDEX(INDIRECT("Pianificazione!e1:e800"),MATCH($A34&amp;E$1,INDIRECT("Pianificazione!c1:c800")&amp;INDIRECT("Pianificazione!a1:a800"),0)),"hh:mm"),"")&amp;"-"&amp;IFERROR(TEXT(INDEX(INDIRECT("Pianificazione!f1:f800"),MATCH($A34&amp;E$1,INDIRECT("Pianificazione!c1:c800")&amp;INDIRECT("Pianificazione!a1:a800"),0)),"hh:mm"),"")="-","Riposo",IFERROR(TEXT(INDEX(INDIRECT("Pianificazione!e1:e800"),MATCH($A34&amp;E$1,INDIRECT("Pianificazione!c1:c800")&amp;INDIRECT("Pianificazione!a1:a800"),0)),"hh:mm"),"")&amp;"-"&amp;IFERROR(TEXT(INDEX(INDIRECT("Pianificazione!f1:f800"),MATCH($A34&amp;E$1,INDIRECT("Pianificazione!c1:c800")&amp;INDIRECT("Pianificazione!a1:a800"),0)),"hh:mm"),""))</f>
        <v>Riposo</v>
      </c>
      <c r="F34" s="15" t="str" cm="1">
        <f t="array" aca="1" ref="F34" ca="1">+IF(IFERROR(TEXT(INDEX(INDIRECT("Pianificazione!e1:e800"),MATCH($A34&amp;F$1,INDIRECT("Pianificazione!c1:c800")&amp;INDIRECT("Pianificazione!a1:a800"),0)),"hh:mm"),"")&amp;"-"&amp;IFERROR(TEXT(INDEX(INDIRECT("Pianificazione!f1:f800"),MATCH($A34&amp;F$1,INDIRECT("Pianificazione!c1:c800")&amp;INDIRECT("Pianificazione!a1:a800"),0)),"hh:mm"),"")="-","Riposo",IFERROR(TEXT(INDEX(INDIRECT("Pianificazione!e1:e800"),MATCH($A34&amp;F$1,INDIRECT("Pianificazione!c1:c800")&amp;INDIRECT("Pianificazione!a1:a800"),0)),"hh:mm"),"")&amp;"-"&amp;IFERROR(TEXT(INDEX(INDIRECT("Pianificazione!f1:f800"),MATCH($A34&amp;F$1,INDIRECT("Pianificazione!c1:c800")&amp;INDIRECT("Pianificazione!a1:a800"),0)),"hh:mm"),""))</f>
        <v>Riposo</v>
      </c>
      <c r="G34" s="15" t="str" cm="1">
        <f t="array" aca="1" ref="G34" ca="1">+IF(IFERROR(TEXT(INDEX(INDIRECT("Pianificazione!e1:e800"),MATCH($A34&amp;G$1,INDIRECT("Pianificazione!c1:c800")&amp;INDIRECT("Pianificazione!a1:a800"),0)),"hh:mm"),"")&amp;"-"&amp;IFERROR(TEXT(INDEX(INDIRECT("Pianificazione!f1:f800"),MATCH($A34&amp;G$1,INDIRECT("Pianificazione!c1:c800")&amp;INDIRECT("Pianificazione!a1:a800"),0)),"hh:mm"),"")="-","Riposo",IFERROR(TEXT(INDEX(INDIRECT("Pianificazione!e1:e800"),MATCH($A34&amp;G$1,INDIRECT("Pianificazione!c1:c800")&amp;INDIRECT("Pianificazione!a1:a800"),0)),"hh:mm"),"")&amp;"-"&amp;IFERROR(TEXT(INDEX(INDIRECT("Pianificazione!f1:f800"),MATCH($A34&amp;G$1,INDIRECT("Pianificazione!c1:c800")&amp;INDIRECT("Pianificazione!a1:a800"),0)),"hh:mm"),""))</f>
        <v>Riposo</v>
      </c>
      <c r="H34" s="15" t="str" cm="1">
        <f t="array" aca="1" ref="H34" ca="1">+IF(IFERROR(TEXT(INDEX(INDIRECT("Pianificazione!e1:e800"),MATCH($A34&amp;H$1,INDIRECT("Pianificazione!c1:c800")&amp;INDIRECT("Pianificazione!a1:a800"),0)),"hh:mm"),"")&amp;"-"&amp;IFERROR(TEXT(INDEX(INDIRECT("Pianificazione!f1:f800"),MATCH($A34&amp;H$1,INDIRECT("Pianificazione!c1:c800")&amp;INDIRECT("Pianificazione!a1:a800"),0)),"hh:mm"),"")="-","Riposo",IFERROR(TEXT(INDEX(INDIRECT("Pianificazione!e1:e800"),MATCH($A34&amp;H$1,INDIRECT("Pianificazione!c1:c800")&amp;INDIRECT("Pianificazione!a1:a800"),0)),"hh:mm"),"")&amp;"-"&amp;IFERROR(TEXT(INDEX(INDIRECT("Pianificazione!f1:f800"),MATCH($A34&amp;H$1,INDIRECT("Pianificazione!c1:c800")&amp;INDIRECT("Pianificazione!a1:a800"),0)),"hh:mm"),""))</f>
        <v>Riposo</v>
      </c>
    </row>
    <row r="35" spans="1:8">
      <c r="A35" t="str">
        <f>+Risorse!B35</f>
        <v>Lo Giudice Chiara</v>
      </c>
      <c r="B35" s="15" t="str" cm="1">
        <f t="array" aca="1" ref="B35" ca="1">+IF(IFERROR(TEXT(INDEX(INDIRECT("Pianificazione!e1:e800"),MATCH($A35&amp;B$1,INDIRECT("Pianificazione!c1:c800")&amp;INDIRECT("Pianificazione!a1:a800"),0)),"hh:mm"),"")&amp;"-"&amp;IFERROR(TEXT(INDEX(INDIRECT("Pianificazione!f1:f800"),MATCH($A35&amp;B$1,INDIRECT("Pianificazione!c1:c800")&amp;INDIRECT("Pianificazione!a1:a800"),0)),"hh:mm"),"")="-","Riposo",IFERROR(TEXT(INDEX(INDIRECT("Pianificazione!e1:e800"),MATCH($A35&amp;B$1,INDIRECT("Pianificazione!c1:c800")&amp;INDIRECT("Pianificazione!a1:a800"),0)),"hh:mm"),"")&amp;"-"&amp;IFERROR(TEXT(INDEX(INDIRECT("Pianificazione!f1:f800"),MATCH($A35&amp;B$1,INDIRECT("Pianificazione!c1:c800")&amp;INDIRECT("Pianificazione!a1:a800"),0)),"hh:mm"),""))</f>
        <v>Riposo</v>
      </c>
      <c r="C35" s="15" t="str" cm="1">
        <f t="array" aca="1" ref="C35" ca="1">+IF(IFERROR(TEXT(INDEX(INDIRECT("Pianificazione!e1:e800"),MATCH($A35&amp;C$1,INDIRECT("Pianificazione!c1:c800")&amp;INDIRECT("Pianificazione!a1:a800"),0)),"hh:mm"),"")&amp;"-"&amp;IFERROR(TEXT(INDEX(INDIRECT("Pianificazione!f1:f800"),MATCH($A35&amp;C$1,INDIRECT("Pianificazione!c1:c800")&amp;INDIRECT("Pianificazione!a1:a800"),0)),"hh:mm"),"")="-","Riposo",IFERROR(TEXT(INDEX(INDIRECT("Pianificazione!e1:e800"),MATCH($A35&amp;C$1,INDIRECT("Pianificazione!c1:c800")&amp;INDIRECT("Pianificazione!a1:a800"),0)),"hh:mm"),"")&amp;"-"&amp;IFERROR(TEXT(INDEX(INDIRECT("Pianificazione!f1:f800"),MATCH($A35&amp;C$1,INDIRECT("Pianificazione!c1:c800")&amp;INDIRECT("Pianificazione!a1:a800"),0)),"hh:mm"),""))</f>
        <v>Riposo</v>
      </c>
      <c r="D35" s="15" t="str" cm="1">
        <f t="array" aca="1" ref="D35" ca="1">+IF(IFERROR(TEXT(INDEX(INDIRECT("Pianificazione!e1:e800"),MATCH($A35&amp;D$1,INDIRECT("Pianificazione!c1:c800")&amp;INDIRECT("Pianificazione!a1:a800"),0)),"hh:mm"),"")&amp;"-"&amp;IFERROR(TEXT(INDEX(INDIRECT("Pianificazione!f1:f800"),MATCH($A35&amp;D$1,INDIRECT("Pianificazione!c1:c800")&amp;INDIRECT("Pianificazione!a1:a800"),0)),"hh:mm"),"")="-","Riposo",IFERROR(TEXT(INDEX(INDIRECT("Pianificazione!e1:e800"),MATCH($A35&amp;D$1,INDIRECT("Pianificazione!c1:c800")&amp;INDIRECT("Pianificazione!a1:a800"),0)),"hh:mm"),"")&amp;"-"&amp;IFERROR(TEXT(INDEX(INDIRECT("Pianificazione!f1:f800"),MATCH($A35&amp;D$1,INDIRECT("Pianificazione!c1:c800")&amp;INDIRECT("Pianificazione!a1:a800"),0)),"hh:mm"),""))</f>
        <v>Riposo</v>
      </c>
      <c r="E35" s="15" t="str" cm="1">
        <f t="array" aca="1" ref="E35" ca="1">+IF(IFERROR(TEXT(INDEX(INDIRECT("Pianificazione!e1:e800"),MATCH($A35&amp;E$1,INDIRECT("Pianificazione!c1:c800")&amp;INDIRECT("Pianificazione!a1:a800"),0)),"hh:mm"),"")&amp;"-"&amp;IFERROR(TEXT(INDEX(INDIRECT("Pianificazione!f1:f800"),MATCH($A35&amp;E$1,INDIRECT("Pianificazione!c1:c800")&amp;INDIRECT("Pianificazione!a1:a800"),0)),"hh:mm"),"")="-","Riposo",IFERROR(TEXT(INDEX(INDIRECT("Pianificazione!e1:e800"),MATCH($A35&amp;E$1,INDIRECT("Pianificazione!c1:c800")&amp;INDIRECT("Pianificazione!a1:a800"),0)),"hh:mm"),"")&amp;"-"&amp;IFERROR(TEXT(INDEX(INDIRECT("Pianificazione!f1:f800"),MATCH($A35&amp;E$1,INDIRECT("Pianificazione!c1:c800")&amp;INDIRECT("Pianificazione!a1:a800"),0)),"hh:mm"),""))</f>
        <v>Riposo</v>
      </c>
      <c r="F35" s="15" t="str" cm="1">
        <f t="array" aca="1" ref="F35" ca="1">+IF(IFERROR(TEXT(INDEX(INDIRECT("Pianificazione!e1:e800"),MATCH($A35&amp;F$1,INDIRECT("Pianificazione!c1:c800")&amp;INDIRECT("Pianificazione!a1:a800"),0)),"hh:mm"),"")&amp;"-"&amp;IFERROR(TEXT(INDEX(INDIRECT("Pianificazione!f1:f800"),MATCH($A35&amp;F$1,INDIRECT("Pianificazione!c1:c800")&amp;INDIRECT("Pianificazione!a1:a800"),0)),"hh:mm"),"")="-","Riposo",IFERROR(TEXT(INDEX(INDIRECT("Pianificazione!e1:e800"),MATCH($A35&amp;F$1,INDIRECT("Pianificazione!c1:c800")&amp;INDIRECT("Pianificazione!a1:a800"),0)),"hh:mm"),"")&amp;"-"&amp;IFERROR(TEXT(INDEX(INDIRECT("Pianificazione!f1:f800"),MATCH($A35&amp;F$1,INDIRECT("Pianificazione!c1:c800")&amp;INDIRECT("Pianificazione!a1:a800"),0)),"hh:mm"),""))</f>
        <v>Riposo</v>
      </c>
      <c r="G35" s="15" t="str" cm="1">
        <f t="array" aca="1" ref="G35" ca="1">+IF(IFERROR(TEXT(INDEX(INDIRECT("Pianificazione!e1:e800"),MATCH($A35&amp;G$1,INDIRECT("Pianificazione!c1:c800")&amp;INDIRECT("Pianificazione!a1:a800"),0)),"hh:mm"),"")&amp;"-"&amp;IFERROR(TEXT(INDEX(INDIRECT("Pianificazione!f1:f800"),MATCH($A35&amp;G$1,INDIRECT("Pianificazione!c1:c800")&amp;INDIRECT("Pianificazione!a1:a800"),0)),"hh:mm"),"")="-","Riposo",IFERROR(TEXT(INDEX(INDIRECT("Pianificazione!e1:e800"),MATCH($A35&amp;G$1,INDIRECT("Pianificazione!c1:c800")&amp;INDIRECT("Pianificazione!a1:a800"),0)),"hh:mm"),"")&amp;"-"&amp;IFERROR(TEXT(INDEX(INDIRECT("Pianificazione!f1:f800"),MATCH($A35&amp;G$1,INDIRECT("Pianificazione!c1:c800")&amp;INDIRECT("Pianificazione!a1:a800"),0)),"hh:mm"),""))</f>
        <v>Riposo</v>
      </c>
      <c r="H35" s="15" t="str" cm="1">
        <f t="array" aca="1" ref="H35" ca="1">+IF(IFERROR(TEXT(INDEX(INDIRECT("Pianificazione!e1:e800"),MATCH($A35&amp;H$1,INDIRECT("Pianificazione!c1:c800")&amp;INDIRECT("Pianificazione!a1:a800"),0)),"hh:mm"),"")&amp;"-"&amp;IFERROR(TEXT(INDEX(INDIRECT("Pianificazione!f1:f800"),MATCH($A35&amp;H$1,INDIRECT("Pianificazione!c1:c800")&amp;INDIRECT("Pianificazione!a1:a800"),0)),"hh:mm"),"")="-","Riposo",IFERROR(TEXT(INDEX(INDIRECT("Pianificazione!e1:e800"),MATCH($A35&amp;H$1,INDIRECT("Pianificazione!c1:c800")&amp;INDIRECT("Pianificazione!a1:a800"),0)),"hh:mm"),"")&amp;"-"&amp;IFERROR(TEXT(INDEX(INDIRECT("Pianificazione!f1:f800"),MATCH($A35&amp;H$1,INDIRECT("Pianificazione!c1:c800")&amp;INDIRECT("Pianificazione!a1:a800"),0)),"hh:mm"),""))</f>
        <v>Riposo</v>
      </c>
    </row>
    <row r="36" spans="1:8">
      <c r="A36" t="str">
        <f>+Risorse!B36</f>
        <v>Lo Iacono Gaspare</v>
      </c>
      <c r="B36" s="15" t="str" cm="1">
        <f t="array" aca="1" ref="B36" ca="1">+IF(IFERROR(TEXT(INDEX(INDIRECT("Pianificazione!e1:e800"),MATCH($A36&amp;B$1,INDIRECT("Pianificazione!c1:c800")&amp;INDIRECT("Pianificazione!a1:a800"),0)),"hh:mm"),"")&amp;"-"&amp;IFERROR(TEXT(INDEX(INDIRECT("Pianificazione!f1:f800"),MATCH($A36&amp;B$1,INDIRECT("Pianificazione!c1:c800")&amp;INDIRECT("Pianificazione!a1:a800"),0)),"hh:mm"),"")="-","Riposo",IFERROR(TEXT(INDEX(INDIRECT("Pianificazione!e1:e800"),MATCH($A36&amp;B$1,INDIRECT("Pianificazione!c1:c800")&amp;INDIRECT("Pianificazione!a1:a800"),0)),"hh:mm"),"")&amp;"-"&amp;IFERROR(TEXT(INDEX(INDIRECT("Pianificazione!f1:f800"),MATCH($A36&amp;B$1,INDIRECT("Pianificazione!c1:c800")&amp;INDIRECT("Pianificazione!a1:a800"),0)),"hh:mm"),""))</f>
        <v>Riposo</v>
      </c>
      <c r="C36" s="15" t="str" cm="1">
        <f t="array" aca="1" ref="C36" ca="1">+IF(IFERROR(TEXT(INDEX(INDIRECT("Pianificazione!e1:e800"),MATCH($A36&amp;C$1,INDIRECT("Pianificazione!c1:c800")&amp;INDIRECT("Pianificazione!a1:a800"),0)),"hh:mm"),"")&amp;"-"&amp;IFERROR(TEXT(INDEX(INDIRECT("Pianificazione!f1:f800"),MATCH($A36&amp;C$1,INDIRECT("Pianificazione!c1:c800")&amp;INDIRECT("Pianificazione!a1:a800"),0)),"hh:mm"),"")="-","Riposo",IFERROR(TEXT(INDEX(INDIRECT("Pianificazione!e1:e800"),MATCH($A36&amp;C$1,INDIRECT("Pianificazione!c1:c800")&amp;INDIRECT("Pianificazione!a1:a800"),0)),"hh:mm"),"")&amp;"-"&amp;IFERROR(TEXT(INDEX(INDIRECT("Pianificazione!f1:f800"),MATCH($A36&amp;C$1,INDIRECT("Pianificazione!c1:c800")&amp;INDIRECT("Pianificazione!a1:a800"),0)),"hh:mm"),""))</f>
        <v>Riposo</v>
      </c>
      <c r="D36" s="15" t="str" cm="1">
        <f t="array" aca="1" ref="D36" ca="1">+IF(IFERROR(TEXT(INDEX(INDIRECT("Pianificazione!e1:e800"),MATCH($A36&amp;D$1,INDIRECT("Pianificazione!c1:c800")&amp;INDIRECT("Pianificazione!a1:a800"),0)),"hh:mm"),"")&amp;"-"&amp;IFERROR(TEXT(INDEX(INDIRECT("Pianificazione!f1:f800"),MATCH($A36&amp;D$1,INDIRECT("Pianificazione!c1:c800")&amp;INDIRECT("Pianificazione!a1:a800"),0)),"hh:mm"),"")="-","Riposo",IFERROR(TEXT(INDEX(INDIRECT("Pianificazione!e1:e800"),MATCH($A36&amp;D$1,INDIRECT("Pianificazione!c1:c800")&amp;INDIRECT("Pianificazione!a1:a800"),0)),"hh:mm"),"")&amp;"-"&amp;IFERROR(TEXT(INDEX(INDIRECT("Pianificazione!f1:f800"),MATCH($A36&amp;D$1,INDIRECT("Pianificazione!c1:c800")&amp;INDIRECT("Pianificazione!a1:a800"),0)),"hh:mm"),""))</f>
        <v>Riposo</v>
      </c>
      <c r="E36" s="15" t="str" cm="1">
        <f t="array" aca="1" ref="E36" ca="1">+IF(IFERROR(TEXT(INDEX(INDIRECT("Pianificazione!e1:e800"),MATCH($A36&amp;E$1,INDIRECT("Pianificazione!c1:c800")&amp;INDIRECT("Pianificazione!a1:a800"),0)),"hh:mm"),"")&amp;"-"&amp;IFERROR(TEXT(INDEX(INDIRECT("Pianificazione!f1:f800"),MATCH($A36&amp;E$1,INDIRECT("Pianificazione!c1:c800")&amp;INDIRECT("Pianificazione!a1:a800"),0)),"hh:mm"),"")="-","Riposo",IFERROR(TEXT(INDEX(INDIRECT("Pianificazione!e1:e800"),MATCH($A36&amp;E$1,INDIRECT("Pianificazione!c1:c800")&amp;INDIRECT("Pianificazione!a1:a800"),0)),"hh:mm"),"")&amp;"-"&amp;IFERROR(TEXT(INDEX(INDIRECT("Pianificazione!f1:f800"),MATCH($A36&amp;E$1,INDIRECT("Pianificazione!c1:c800")&amp;INDIRECT("Pianificazione!a1:a800"),0)),"hh:mm"),""))</f>
        <v>Riposo</v>
      </c>
      <c r="F36" s="15" t="str" cm="1">
        <f t="array" aca="1" ref="F36" ca="1">+IF(IFERROR(TEXT(INDEX(INDIRECT("Pianificazione!e1:e800"),MATCH($A36&amp;F$1,INDIRECT("Pianificazione!c1:c800")&amp;INDIRECT("Pianificazione!a1:a800"),0)),"hh:mm"),"")&amp;"-"&amp;IFERROR(TEXT(INDEX(INDIRECT("Pianificazione!f1:f800"),MATCH($A36&amp;F$1,INDIRECT("Pianificazione!c1:c800")&amp;INDIRECT("Pianificazione!a1:a800"),0)),"hh:mm"),"")="-","Riposo",IFERROR(TEXT(INDEX(INDIRECT("Pianificazione!e1:e800"),MATCH($A36&amp;F$1,INDIRECT("Pianificazione!c1:c800")&amp;INDIRECT("Pianificazione!a1:a800"),0)),"hh:mm"),"")&amp;"-"&amp;IFERROR(TEXT(INDEX(INDIRECT("Pianificazione!f1:f800"),MATCH($A36&amp;F$1,INDIRECT("Pianificazione!c1:c800")&amp;INDIRECT("Pianificazione!a1:a800"),0)),"hh:mm"),""))</f>
        <v>Riposo</v>
      </c>
      <c r="G36" s="15" t="str" cm="1">
        <f t="array" aca="1" ref="G36" ca="1">+IF(IFERROR(TEXT(INDEX(INDIRECT("Pianificazione!e1:e800"),MATCH($A36&amp;G$1,INDIRECT("Pianificazione!c1:c800")&amp;INDIRECT("Pianificazione!a1:a800"),0)),"hh:mm"),"")&amp;"-"&amp;IFERROR(TEXT(INDEX(INDIRECT("Pianificazione!f1:f800"),MATCH($A36&amp;G$1,INDIRECT("Pianificazione!c1:c800")&amp;INDIRECT("Pianificazione!a1:a800"),0)),"hh:mm"),"")="-","Riposo",IFERROR(TEXT(INDEX(INDIRECT("Pianificazione!e1:e800"),MATCH($A36&amp;G$1,INDIRECT("Pianificazione!c1:c800")&amp;INDIRECT("Pianificazione!a1:a800"),0)),"hh:mm"),"")&amp;"-"&amp;IFERROR(TEXT(INDEX(INDIRECT("Pianificazione!f1:f800"),MATCH($A36&amp;G$1,INDIRECT("Pianificazione!c1:c800")&amp;INDIRECT("Pianificazione!a1:a800"),0)),"hh:mm"),""))</f>
        <v>Riposo</v>
      </c>
      <c r="H36" s="15" t="str" cm="1">
        <f t="array" aca="1" ref="H36" ca="1">+IF(IFERROR(TEXT(INDEX(INDIRECT("Pianificazione!e1:e800"),MATCH($A36&amp;H$1,INDIRECT("Pianificazione!c1:c800")&amp;INDIRECT("Pianificazione!a1:a800"),0)),"hh:mm"),"")&amp;"-"&amp;IFERROR(TEXT(INDEX(INDIRECT("Pianificazione!f1:f800"),MATCH($A36&amp;H$1,INDIRECT("Pianificazione!c1:c800")&amp;INDIRECT("Pianificazione!a1:a800"),0)),"hh:mm"),"")="-","Riposo",IFERROR(TEXT(INDEX(INDIRECT("Pianificazione!e1:e800"),MATCH($A36&amp;H$1,INDIRECT("Pianificazione!c1:c800")&amp;INDIRECT("Pianificazione!a1:a800"),0)),"hh:mm"),"")&amp;"-"&amp;IFERROR(TEXT(INDEX(INDIRECT("Pianificazione!f1:f800"),MATCH($A36&amp;H$1,INDIRECT("Pianificazione!c1:c800")&amp;INDIRECT("Pianificazione!a1:a800"),0)),"hh:mm"),""))</f>
        <v>Riposo</v>
      </c>
    </row>
    <row r="37" spans="1:8">
      <c r="A37" t="str">
        <f>+Risorse!B37</f>
        <v>Lo Presti Florinda</v>
      </c>
      <c r="B37" s="15" t="str" cm="1">
        <f t="array" aca="1" ref="B37" ca="1">+IF(IFERROR(TEXT(INDEX(INDIRECT("Pianificazione!e1:e800"),MATCH($A37&amp;B$1,INDIRECT("Pianificazione!c1:c800")&amp;INDIRECT("Pianificazione!a1:a800"),0)),"hh:mm"),"")&amp;"-"&amp;IFERROR(TEXT(INDEX(INDIRECT("Pianificazione!f1:f800"),MATCH($A37&amp;B$1,INDIRECT("Pianificazione!c1:c800")&amp;INDIRECT("Pianificazione!a1:a800"),0)),"hh:mm"),"")="-","Riposo",IFERROR(TEXT(INDEX(INDIRECT("Pianificazione!e1:e800"),MATCH($A37&amp;B$1,INDIRECT("Pianificazione!c1:c800")&amp;INDIRECT("Pianificazione!a1:a800"),0)),"hh:mm"),"")&amp;"-"&amp;IFERROR(TEXT(INDEX(INDIRECT("Pianificazione!f1:f800"),MATCH($A37&amp;B$1,INDIRECT("Pianificazione!c1:c800")&amp;INDIRECT("Pianificazione!a1:a800"),0)),"hh:mm"),""))</f>
        <v>Riposo</v>
      </c>
      <c r="C37" s="15" t="str" cm="1">
        <f t="array" aca="1" ref="C37" ca="1">+IF(IFERROR(TEXT(INDEX(INDIRECT("Pianificazione!e1:e800"),MATCH($A37&amp;C$1,INDIRECT("Pianificazione!c1:c800")&amp;INDIRECT("Pianificazione!a1:a800"),0)),"hh:mm"),"")&amp;"-"&amp;IFERROR(TEXT(INDEX(INDIRECT("Pianificazione!f1:f800"),MATCH($A37&amp;C$1,INDIRECT("Pianificazione!c1:c800")&amp;INDIRECT("Pianificazione!a1:a800"),0)),"hh:mm"),"")="-","Riposo",IFERROR(TEXT(INDEX(INDIRECT("Pianificazione!e1:e800"),MATCH($A37&amp;C$1,INDIRECT("Pianificazione!c1:c800")&amp;INDIRECT("Pianificazione!a1:a800"),0)),"hh:mm"),"")&amp;"-"&amp;IFERROR(TEXT(INDEX(INDIRECT("Pianificazione!f1:f800"),MATCH($A37&amp;C$1,INDIRECT("Pianificazione!c1:c800")&amp;INDIRECT("Pianificazione!a1:a800"),0)),"hh:mm"),""))</f>
        <v>Riposo</v>
      </c>
      <c r="D37" s="15" t="str" cm="1">
        <f t="array" aca="1" ref="D37" ca="1">+IF(IFERROR(TEXT(INDEX(INDIRECT("Pianificazione!e1:e800"),MATCH($A37&amp;D$1,INDIRECT("Pianificazione!c1:c800")&amp;INDIRECT("Pianificazione!a1:a800"),0)),"hh:mm"),"")&amp;"-"&amp;IFERROR(TEXT(INDEX(INDIRECT("Pianificazione!f1:f800"),MATCH($A37&amp;D$1,INDIRECT("Pianificazione!c1:c800")&amp;INDIRECT("Pianificazione!a1:a800"),0)),"hh:mm"),"")="-","Riposo",IFERROR(TEXT(INDEX(INDIRECT("Pianificazione!e1:e800"),MATCH($A37&amp;D$1,INDIRECT("Pianificazione!c1:c800")&amp;INDIRECT("Pianificazione!a1:a800"),0)),"hh:mm"),"")&amp;"-"&amp;IFERROR(TEXT(INDEX(INDIRECT("Pianificazione!f1:f800"),MATCH($A37&amp;D$1,INDIRECT("Pianificazione!c1:c800")&amp;INDIRECT("Pianificazione!a1:a800"),0)),"hh:mm"),""))</f>
        <v>Riposo</v>
      </c>
      <c r="E37" s="15" t="str" cm="1">
        <f t="array" aca="1" ref="E37" ca="1">+IF(IFERROR(TEXT(INDEX(INDIRECT("Pianificazione!e1:e800"),MATCH($A37&amp;E$1,INDIRECT("Pianificazione!c1:c800")&amp;INDIRECT("Pianificazione!a1:a800"),0)),"hh:mm"),"")&amp;"-"&amp;IFERROR(TEXT(INDEX(INDIRECT("Pianificazione!f1:f800"),MATCH($A37&amp;E$1,INDIRECT("Pianificazione!c1:c800")&amp;INDIRECT("Pianificazione!a1:a800"),0)),"hh:mm"),"")="-","Riposo",IFERROR(TEXT(INDEX(INDIRECT("Pianificazione!e1:e800"),MATCH($A37&amp;E$1,INDIRECT("Pianificazione!c1:c800")&amp;INDIRECT("Pianificazione!a1:a800"),0)),"hh:mm"),"")&amp;"-"&amp;IFERROR(TEXT(INDEX(INDIRECT("Pianificazione!f1:f800"),MATCH($A37&amp;E$1,INDIRECT("Pianificazione!c1:c800")&amp;INDIRECT("Pianificazione!a1:a800"),0)),"hh:mm"),""))</f>
        <v>Riposo</v>
      </c>
      <c r="F37" s="15" t="str" cm="1">
        <f t="array" aca="1" ref="F37" ca="1">+IF(IFERROR(TEXT(INDEX(INDIRECT("Pianificazione!e1:e800"),MATCH($A37&amp;F$1,INDIRECT("Pianificazione!c1:c800")&amp;INDIRECT("Pianificazione!a1:a800"),0)),"hh:mm"),"")&amp;"-"&amp;IFERROR(TEXT(INDEX(INDIRECT("Pianificazione!f1:f800"),MATCH($A37&amp;F$1,INDIRECT("Pianificazione!c1:c800")&amp;INDIRECT("Pianificazione!a1:a800"),0)),"hh:mm"),"")="-","Riposo",IFERROR(TEXT(INDEX(INDIRECT("Pianificazione!e1:e800"),MATCH($A37&amp;F$1,INDIRECT("Pianificazione!c1:c800")&amp;INDIRECT("Pianificazione!a1:a800"),0)),"hh:mm"),"")&amp;"-"&amp;IFERROR(TEXT(INDEX(INDIRECT("Pianificazione!f1:f800"),MATCH($A37&amp;F$1,INDIRECT("Pianificazione!c1:c800")&amp;INDIRECT("Pianificazione!a1:a800"),0)),"hh:mm"),""))</f>
        <v>Riposo</v>
      </c>
      <c r="G37" s="15" t="str" cm="1">
        <f t="array" aca="1" ref="G37" ca="1">+IF(IFERROR(TEXT(INDEX(INDIRECT("Pianificazione!e1:e800"),MATCH($A37&amp;G$1,INDIRECT("Pianificazione!c1:c800")&amp;INDIRECT("Pianificazione!a1:a800"),0)),"hh:mm"),"")&amp;"-"&amp;IFERROR(TEXT(INDEX(INDIRECT("Pianificazione!f1:f800"),MATCH($A37&amp;G$1,INDIRECT("Pianificazione!c1:c800")&amp;INDIRECT("Pianificazione!a1:a800"),0)),"hh:mm"),"")="-","Riposo",IFERROR(TEXT(INDEX(INDIRECT("Pianificazione!e1:e800"),MATCH($A37&amp;G$1,INDIRECT("Pianificazione!c1:c800")&amp;INDIRECT("Pianificazione!a1:a800"),0)),"hh:mm"),"")&amp;"-"&amp;IFERROR(TEXT(INDEX(INDIRECT("Pianificazione!f1:f800"),MATCH($A37&amp;G$1,INDIRECT("Pianificazione!c1:c800")&amp;INDIRECT("Pianificazione!a1:a800"),0)),"hh:mm"),""))</f>
        <v>Riposo</v>
      </c>
      <c r="H37" s="15" t="str" cm="1">
        <f t="array" aca="1" ref="H37" ca="1">+IF(IFERROR(TEXT(INDEX(INDIRECT("Pianificazione!e1:e800"),MATCH($A37&amp;H$1,INDIRECT("Pianificazione!c1:c800")&amp;INDIRECT("Pianificazione!a1:a800"),0)),"hh:mm"),"")&amp;"-"&amp;IFERROR(TEXT(INDEX(INDIRECT("Pianificazione!f1:f800"),MATCH($A37&amp;H$1,INDIRECT("Pianificazione!c1:c800")&amp;INDIRECT("Pianificazione!a1:a800"),0)),"hh:mm"),"")="-","Riposo",IFERROR(TEXT(INDEX(INDIRECT("Pianificazione!e1:e800"),MATCH($A37&amp;H$1,INDIRECT("Pianificazione!c1:c800")&amp;INDIRECT("Pianificazione!a1:a800"),0)),"hh:mm"),"")&amp;"-"&amp;IFERROR(TEXT(INDEX(INDIRECT("Pianificazione!f1:f800"),MATCH($A37&amp;H$1,INDIRECT("Pianificazione!c1:c800")&amp;INDIRECT("Pianificazione!a1:a800"),0)),"hh:mm"),""))</f>
        <v>Riposo</v>
      </c>
    </row>
    <row r="38" spans="1:8">
      <c r="A38" t="str">
        <f>+Risorse!B38</f>
        <v>Lombardo Gandolfo</v>
      </c>
      <c r="B38" s="15" t="str" cm="1">
        <f t="array" aca="1" ref="B38" ca="1">+IF(IFERROR(TEXT(INDEX(INDIRECT("Pianificazione!e1:e800"),MATCH($A38&amp;B$1,INDIRECT("Pianificazione!c1:c800")&amp;INDIRECT("Pianificazione!a1:a800"),0)),"hh:mm"),"")&amp;"-"&amp;IFERROR(TEXT(INDEX(INDIRECT("Pianificazione!f1:f800"),MATCH($A38&amp;B$1,INDIRECT("Pianificazione!c1:c800")&amp;INDIRECT("Pianificazione!a1:a800"),0)),"hh:mm"),"")="-","Riposo",IFERROR(TEXT(INDEX(INDIRECT("Pianificazione!e1:e800"),MATCH($A38&amp;B$1,INDIRECT("Pianificazione!c1:c800")&amp;INDIRECT("Pianificazione!a1:a800"),0)),"hh:mm"),"")&amp;"-"&amp;IFERROR(TEXT(INDEX(INDIRECT("Pianificazione!f1:f800"),MATCH($A38&amp;B$1,INDIRECT("Pianificazione!c1:c800")&amp;INDIRECT("Pianificazione!a1:a800"),0)),"hh:mm"),""))</f>
        <v>Riposo</v>
      </c>
      <c r="C38" s="15" t="str" cm="1">
        <f t="array" aca="1" ref="C38" ca="1">+IF(IFERROR(TEXT(INDEX(INDIRECT("Pianificazione!e1:e800"),MATCH($A38&amp;C$1,INDIRECT("Pianificazione!c1:c800")&amp;INDIRECT("Pianificazione!a1:a800"),0)),"hh:mm"),"")&amp;"-"&amp;IFERROR(TEXT(INDEX(INDIRECT("Pianificazione!f1:f800"),MATCH($A38&amp;C$1,INDIRECT("Pianificazione!c1:c800")&amp;INDIRECT("Pianificazione!a1:a800"),0)),"hh:mm"),"")="-","Riposo",IFERROR(TEXT(INDEX(INDIRECT("Pianificazione!e1:e800"),MATCH($A38&amp;C$1,INDIRECT("Pianificazione!c1:c800")&amp;INDIRECT("Pianificazione!a1:a800"),0)),"hh:mm"),"")&amp;"-"&amp;IFERROR(TEXT(INDEX(INDIRECT("Pianificazione!f1:f800"),MATCH($A38&amp;C$1,INDIRECT("Pianificazione!c1:c800")&amp;INDIRECT("Pianificazione!a1:a800"),0)),"hh:mm"),""))</f>
        <v>Riposo</v>
      </c>
      <c r="D38" s="15" t="str" cm="1">
        <f t="array" aca="1" ref="D38" ca="1">+IF(IFERROR(TEXT(INDEX(INDIRECT("Pianificazione!e1:e800"),MATCH($A38&amp;D$1,INDIRECT("Pianificazione!c1:c800")&amp;INDIRECT("Pianificazione!a1:a800"),0)),"hh:mm"),"")&amp;"-"&amp;IFERROR(TEXT(INDEX(INDIRECT("Pianificazione!f1:f800"),MATCH($A38&amp;D$1,INDIRECT("Pianificazione!c1:c800")&amp;INDIRECT("Pianificazione!a1:a800"),0)),"hh:mm"),"")="-","Riposo",IFERROR(TEXT(INDEX(INDIRECT("Pianificazione!e1:e800"),MATCH($A38&amp;D$1,INDIRECT("Pianificazione!c1:c800")&amp;INDIRECT("Pianificazione!a1:a800"),0)),"hh:mm"),"")&amp;"-"&amp;IFERROR(TEXT(INDEX(INDIRECT("Pianificazione!f1:f800"),MATCH($A38&amp;D$1,INDIRECT("Pianificazione!c1:c800")&amp;INDIRECT("Pianificazione!a1:a800"),0)),"hh:mm"),""))</f>
        <v>Riposo</v>
      </c>
      <c r="E38" s="15" t="str" cm="1">
        <f t="array" aca="1" ref="E38" ca="1">+IF(IFERROR(TEXT(INDEX(INDIRECT("Pianificazione!e1:e800"),MATCH($A38&amp;E$1,INDIRECT("Pianificazione!c1:c800")&amp;INDIRECT("Pianificazione!a1:a800"),0)),"hh:mm"),"")&amp;"-"&amp;IFERROR(TEXT(INDEX(INDIRECT("Pianificazione!f1:f800"),MATCH($A38&amp;E$1,INDIRECT("Pianificazione!c1:c800")&amp;INDIRECT("Pianificazione!a1:a800"),0)),"hh:mm"),"")="-","Riposo",IFERROR(TEXT(INDEX(INDIRECT("Pianificazione!e1:e800"),MATCH($A38&amp;E$1,INDIRECT("Pianificazione!c1:c800")&amp;INDIRECT("Pianificazione!a1:a800"),0)),"hh:mm"),"")&amp;"-"&amp;IFERROR(TEXT(INDEX(INDIRECT("Pianificazione!f1:f800"),MATCH($A38&amp;E$1,INDIRECT("Pianificazione!c1:c800")&amp;INDIRECT("Pianificazione!a1:a800"),0)),"hh:mm"),""))</f>
        <v>Riposo</v>
      </c>
      <c r="F38" s="15" t="str" cm="1">
        <f t="array" aca="1" ref="F38" ca="1">+IF(IFERROR(TEXT(INDEX(INDIRECT("Pianificazione!e1:e800"),MATCH($A38&amp;F$1,INDIRECT("Pianificazione!c1:c800")&amp;INDIRECT("Pianificazione!a1:a800"),0)),"hh:mm"),"")&amp;"-"&amp;IFERROR(TEXT(INDEX(INDIRECT("Pianificazione!f1:f800"),MATCH($A38&amp;F$1,INDIRECT("Pianificazione!c1:c800")&amp;INDIRECT("Pianificazione!a1:a800"),0)),"hh:mm"),"")="-","Riposo",IFERROR(TEXT(INDEX(INDIRECT("Pianificazione!e1:e800"),MATCH($A38&amp;F$1,INDIRECT("Pianificazione!c1:c800")&amp;INDIRECT("Pianificazione!a1:a800"),0)),"hh:mm"),"")&amp;"-"&amp;IFERROR(TEXT(INDEX(INDIRECT("Pianificazione!f1:f800"),MATCH($A38&amp;F$1,INDIRECT("Pianificazione!c1:c800")&amp;INDIRECT("Pianificazione!a1:a800"),0)),"hh:mm"),""))</f>
        <v>Riposo</v>
      </c>
      <c r="G38" s="15" t="str" cm="1">
        <f t="array" aca="1" ref="G38" ca="1">+IF(IFERROR(TEXT(INDEX(INDIRECT("Pianificazione!e1:e800"),MATCH($A38&amp;G$1,INDIRECT("Pianificazione!c1:c800")&amp;INDIRECT("Pianificazione!a1:a800"),0)),"hh:mm"),"")&amp;"-"&amp;IFERROR(TEXT(INDEX(INDIRECT("Pianificazione!f1:f800"),MATCH($A38&amp;G$1,INDIRECT("Pianificazione!c1:c800")&amp;INDIRECT("Pianificazione!a1:a800"),0)),"hh:mm"),"")="-","Riposo",IFERROR(TEXT(INDEX(INDIRECT("Pianificazione!e1:e800"),MATCH($A38&amp;G$1,INDIRECT("Pianificazione!c1:c800")&amp;INDIRECT("Pianificazione!a1:a800"),0)),"hh:mm"),"")&amp;"-"&amp;IFERROR(TEXT(INDEX(INDIRECT("Pianificazione!f1:f800"),MATCH($A38&amp;G$1,INDIRECT("Pianificazione!c1:c800")&amp;INDIRECT("Pianificazione!a1:a800"),0)),"hh:mm"),""))</f>
        <v>Riposo</v>
      </c>
      <c r="H38" s="15" t="str" cm="1">
        <f t="array" aca="1" ref="H38" ca="1">+IF(IFERROR(TEXT(INDEX(INDIRECT("Pianificazione!e1:e800"),MATCH($A38&amp;H$1,INDIRECT("Pianificazione!c1:c800")&amp;INDIRECT("Pianificazione!a1:a800"),0)),"hh:mm"),"")&amp;"-"&amp;IFERROR(TEXT(INDEX(INDIRECT("Pianificazione!f1:f800"),MATCH($A38&amp;H$1,INDIRECT("Pianificazione!c1:c800")&amp;INDIRECT("Pianificazione!a1:a800"),0)),"hh:mm"),"")="-","Riposo",IFERROR(TEXT(INDEX(INDIRECT("Pianificazione!e1:e800"),MATCH($A38&amp;H$1,INDIRECT("Pianificazione!c1:c800")&amp;INDIRECT("Pianificazione!a1:a800"),0)),"hh:mm"),"")&amp;"-"&amp;IFERROR(TEXT(INDEX(INDIRECT("Pianificazione!f1:f800"),MATCH($A38&amp;H$1,INDIRECT("Pianificazione!c1:c800")&amp;INDIRECT("Pianificazione!a1:a800"),0)),"hh:mm"),""))</f>
        <v>Riposo</v>
      </c>
    </row>
    <row r="39" spans="1:8">
      <c r="A39" t="str">
        <f>+Risorse!B39</f>
        <v>Madonia Concetta</v>
      </c>
      <c r="B39" s="15" t="str" cm="1">
        <f t="array" aca="1" ref="B39" ca="1">+IF(IFERROR(TEXT(INDEX(INDIRECT("Pianificazione!e1:e800"),MATCH($A39&amp;B$1,INDIRECT("Pianificazione!c1:c800")&amp;INDIRECT("Pianificazione!a1:a800"),0)),"hh:mm"),"")&amp;"-"&amp;IFERROR(TEXT(INDEX(INDIRECT("Pianificazione!f1:f800"),MATCH($A39&amp;B$1,INDIRECT("Pianificazione!c1:c800")&amp;INDIRECT("Pianificazione!a1:a800"),0)),"hh:mm"),"")="-","Riposo",IFERROR(TEXT(INDEX(INDIRECT("Pianificazione!e1:e800"),MATCH($A39&amp;B$1,INDIRECT("Pianificazione!c1:c800")&amp;INDIRECT("Pianificazione!a1:a800"),0)),"hh:mm"),"")&amp;"-"&amp;IFERROR(TEXT(INDEX(INDIRECT("Pianificazione!f1:f800"),MATCH($A39&amp;B$1,INDIRECT("Pianificazione!c1:c800")&amp;INDIRECT("Pianificazione!a1:a800"),0)),"hh:mm"),""))</f>
        <v>Riposo</v>
      </c>
      <c r="C39" s="15" t="str" cm="1">
        <f t="array" aca="1" ref="C39" ca="1">+IF(IFERROR(TEXT(INDEX(INDIRECT("Pianificazione!e1:e800"),MATCH($A39&amp;C$1,INDIRECT("Pianificazione!c1:c800")&amp;INDIRECT("Pianificazione!a1:a800"),0)),"hh:mm"),"")&amp;"-"&amp;IFERROR(TEXT(INDEX(INDIRECT("Pianificazione!f1:f800"),MATCH($A39&amp;C$1,INDIRECT("Pianificazione!c1:c800")&amp;INDIRECT("Pianificazione!a1:a800"),0)),"hh:mm"),"")="-","Riposo",IFERROR(TEXT(INDEX(INDIRECT("Pianificazione!e1:e800"),MATCH($A39&amp;C$1,INDIRECT("Pianificazione!c1:c800")&amp;INDIRECT("Pianificazione!a1:a800"),0)),"hh:mm"),"")&amp;"-"&amp;IFERROR(TEXT(INDEX(INDIRECT("Pianificazione!f1:f800"),MATCH($A39&amp;C$1,INDIRECT("Pianificazione!c1:c800")&amp;INDIRECT("Pianificazione!a1:a800"),0)),"hh:mm"),""))</f>
        <v>Riposo</v>
      </c>
      <c r="D39" s="15" t="str" cm="1">
        <f t="array" aca="1" ref="D39" ca="1">+IF(IFERROR(TEXT(INDEX(INDIRECT("Pianificazione!e1:e800"),MATCH($A39&amp;D$1,INDIRECT("Pianificazione!c1:c800")&amp;INDIRECT("Pianificazione!a1:a800"),0)),"hh:mm"),"")&amp;"-"&amp;IFERROR(TEXT(INDEX(INDIRECT("Pianificazione!f1:f800"),MATCH($A39&amp;D$1,INDIRECT("Pianificazione!c1:c800")&amp;INDIRECT("Pianificazione!a1:a800"),0)),"hh:mm"),"")="-","Riposo",IFERROR(TEXT(INDEX(INDIRECT("Pianificazione!e1:e800"),MATCH($A39&amp;D$1,INDIRECT("Pianificazione!c1:c800")&amp;INDIRECT("Pianificazione!a1:a800"),0)),"hh:mm"),"")&amp;"-"&amp;IFERROR(TEXT(INDEX(INDIRECT("Pianificazione!f1:f800"),MATCH($A39&amp;D$1,INDIRECT("Pianificazione!c1:c800")&amp;INDIRECT("Pianificazione!a1:a800"),0)),"hh:mm"),""))</f>
        <v>Riposo</v>
      </c>
      <c r="E39" s="15" t="str" cm="1">
        <f t="array" aca="1" ref="E39" ca="1">+IF(IFERROR(TEXT(INDEX(INDIRECT("Pianificazione!e1:e800"),MATCH($A39&amp;E$1,INDIRECT("Pianificazione!c1:c800")&amp;INDIRECT("Pianificazione!a1:a800"),0)),"hh:mm"),"")&amp;"-"&amp;IFERROR(TEXT(INDEX(INDIRECT("Pianificazione!f1:f800"),MATCH($A39&amp;E$1,INDIRECT("Pianificazione!c1:c800")&amp;INDIRECT("Pianificazione!a1:a800"),0)),"hh:mm"),"")="-","Riposo",IFERROR(TEXT(INDEX(INDIRECT("Pianificazione!e1:e800"),MATCH($A39&amp;E$1,INDIRECT("Pianificazione!c1:c800")&amp;INDIRECT("Pianificazione!a1:a800"),0)),"hh:mm"),"")&amp;"-"&amp;IFERROR(TEXT(INDEX(INDIRECT("Pianificazione!f1:f800"),MATCH($A39&amp;E$1,INDIRECT("Pianificazione!c1:c800")&amp;INDIRECT("Pianificazione!a1:a800"),0)),"hh:mm"),""))</f>
        <v>Riposo</v>
      </c>
      <c r="F39" s="15" t="str" cm="1">
        <f t="array" aca="1" ref="F39" ca="1">+IF(IFERROR(TEXT(INDEX(INDIRECT("Pianificazione!e1:e800"),MATCH($A39&amp;F$1,INDIRECT("Pianificazione!c1:c800")&amp;INDIRECT("Pianificazione!a1:a800"),0)),"hh:mm"),"")&amp;"-"&amp;IFERROR(TEXT(INDEX(INDIRECT("Pianificazione!f1:f800"),MATCH($A39&amp;F$1,INDIRECT("Pianificazione!c1:c800")&amp;INDIRECT("Pianificazione!a1:a800"),0)),"hh:mm"),"")="-","Riposo",IFERROR(TEXT(INDEX(INDIRECT("Pianificazione!e1:e800"),MATCH($A39&amp;F$1,INDIRECT("Pianificazione!c1:c800")&amp;INDIRECT("Pianificazione!a1:a800"),0)),"hh:mm"),"")&amp;"-"&amp;IFERROR(TEXT(INDEX(INDIRECT("Pianificazione!f1:f800"),MATCH($A39&amp;F$1,INDIRECT("Pianificazione!c1:c800")&amp;INDIRECT("Pianificazione!a1:a800"),0)),"hh:mm"),""))</f>
        <v>Riposo</v>
      </c>
      <c r="G39" s="15" t="str" cm="1">
        <f t="array" aca="1" ref="G39" ca="1">+IF(IFERROR(TEXT(INDEX(INDIRECT("Pianificazione!e1:e800"),MATCH($A39&amp;G$1,INDIRECT("Pianificazione!c1:c800")&amp;INDIRECT("Pianificazione!a1:a800"),0)),"hh:mm"),"")&amp;"-"&amp;IFERROR(TEXT(INDEX(INDIRECT("Pianificazione!f1:f800"),MATCH($A39&amp;G$1,INDIRECT("Pianificazione!c1:c800")&amp;INDIRECT("Pianificazione!a1:a800"),0)),"hh:mm"),"")="-","Riposo",IFERROR(TEXT(INDEX(INDIRECT("Pianificazione!e1:e800"),MATCH($A39&amp;G$1,INDIRECT("Pianificazione!c1:c800")&amp;INDIRECT("Pianificazione!a1:a800"),0)),"hh:mm"),"")&amp;"-"&amp;IFERROR(TEXT(INDEX(INDIRECT("Pianificazione!f1:f800"),MATCH($A39&amp;G$1,INDIRECT("Pianificazione!c1:c800")&amp;INDIRECT("Pianificazione!a1:a800"),0)),"hh:mm"),""))</f>
        <v>Riposo</v>
      </c>
      <c r="H39" s="15" t="str" cm="1">
        <f t="array" aca="1" ref="H39" ca="1">+IF(IFERROR(TEXT(INDEX(INDIRECT("Pianificazione!e1:e800"),MATCH($A39&amp;H$1,INDIRECT("Pianificazione!c1:c800")&amp;INDIRECT("Pianificazione!a1:a800"),0)),"hh:mm"),"")&amp;"-"&amp;IFERROR(TEXT(INDEX(INDIRECT("Pianificazione!f1:f800"),MATCH($A39&amp;H$1,INDIRECT("Pianificazione!c1:c800")&amp;INDIRECT("Pianificazione!a1:a800"),0)),"hh:mm"),"")="-","Riposo",IFERROR(TEXT(INDEX(INDIRECT("Pianificazione!e1:e800"),MATCH($A39&amp;H$1,INDIRECT("Pianificazione!c1:c800")&amp;INDIRECT("Pianificazione!a1:a800"),0)),"hh:mm"),"")&amp;"-"&amp;IFERROR(TEXT(INDEX(INDIRECT("Pianificazione!f1:f800"),MATCH($A39&amp;H$1,INDIRECT("Pianificazione!c1:c800")&amp;INDIRECT("Pianificazione!a1:a800"),0)),"hh:mm"),""))</f>
        <v>Riposo</v>
      </c>
    </row>
    <row r="40" spans="1:8">
      <c r="A40" t="str">
        <f>+Risorse!B40</f>
        <v>Madonia Felicia</v>
      </c>
      <c r="B40" s="15" t="str" cm="1">
        <f t="array" aca="1" ref="B40" ca="1">+IF(IFERROR(TEXT(INDEX(INDIRECT("Pianificazione!e1:e800"),MATCH($A40&amp;B$1,INDIRECT("Pianificazione!c1:c800")&amp;INDIRECT("Pianificazione!a1:a800"),0)),"hh:mm"),"")&amp;"-"&amp;IFERROR(TEXT(INDEX(INDIRECT("Pianificazione!f1:f800"),MATCH($A40&amp;B$1,INDIRECT("Pianificazione!c1:c800")&amp;INDIRECT("Pianificazione!a1:a800"),0)),"hh:mm"),"")="-","Riposo",IFERROR(TEXT(INDEX(INDIRECT("Pianificazione!e1:e800"),MATCH($A40&amp;B$1,INDIRECT("Pianificazione!c1:c800")&amp;INDIRECT("Pianificazione!a1:a800"),0)),"hh:mm"),"")&amp;"-"&amp;IFERROR(TEXT(INDEX(INDIRECT("Pianificazione!f1:f800"),MATCH($A40&amp;B$1,INDIRECT("Pianificazione!c1:c800")&amp;INDIRECT("Pianificazione!a1:a800"),0)),"hh:mm"),""))</f>
        <v>Riposo</v>
      </c>
      <c r="C40" s="15" t="str" cm="1">
        <f t="array" aca="1" ref="C40" ca="1">+IF(IFERROR(TEXT(INDEX(INDIRECT("Pianificazione!e1:e800"),MATCH($A40&amp;C$1,INDIRECT("Pianificazione!c1:c800")&amp;INDIRECT("Pianificazione!a1:a800"),0)),"hh:mm"),"")&amp;"-"&amp;IFERROR(TEXT(INDEX(INDIRECT("Pianificazione!f1:f800"),MATCH($A40&amp;C$1,INDIRECT("Pianificazione!c1:c800")&amp;INDIRECT("Pianificazione!a1:a800"),0)),"hh:mm"),"")="-","Riposo",IFERROR(TEXT(INDEX(INDIRECT("Pianificazione!e1:e800"),MATCH($A40&amp;C$1,INDIRECT("Pianificazione!c1:c800")&amp;INDIRECT("Pianificazione!a1:a800"),0)),"hh:mm"),"")&amp;"-"&amp;IFERROR(TEXT(INDEX(INDIRECT("Pianificazione!f1:f800"),MATCH($A40&amp;C$1,INDIRECT("Pianificazione!c1:c800")&amp;INDIRECT("Pianificazione!a1:a800"),0)),"hh:mm"),""))</f>
        <v>Riposo</v>
      </c>
      <c r="D40" s="15" t="str" cm="1">
        <f t="array" aca="1" ref="D40" ca="1">+IF(IFERROR(TEXT(INDEX(INDIRECT("Pianificazione!e1:e800"),MATCH($A40&amp;D$1,INDIRECT("Pianificazione!c1:c800")&amp;INDIRECT("Pianificazione!a1:a800"),0)),"hh:mm"),"")&amp;"-"&amp;IFERROR(TEXT(INDEX(INDIRECT("Pianificazione!f1:f800"),MATCH($A40&amp;D$1,INDIRECT("Pianificazione!c1:c800")&amp;INDIRECT("Pianificazione!a1:a800"),0)),"hh:mm"),"")="-","Riposo",IFERROR(TEXT(INDEX(INDIRECT("Pianificazione!e1:e800"),MATCH($A40&amp;D$1,INDIRECT("Pianificazione!c1:c800")&amp;INDIRECT("Pianificazione!a1:a800"),0)),"hh:mm"),"")&amp;"-"&amp;IFERROR(TEXT(INDEX(INDIRECT("Pianificazione!f1:f800"),MATCH($A40&amp;D$1,INDIRECT("Pianificazione!c1:c800")&amp;INDIRECT("Pianificazione!a1:a800"),0)),"hh:mm"),""))</f>
        <v>Riposo</v>
      </c>
      <c r="E40" s="15" t="str" cm="1">
        <f t="array" aca="1" ref="E40" ca="1">+IF(IFERROR(TEXT(INDEX(INDIRECT("Pianificazione!e1:e800"),MATCH($A40&amp;E$1,INDIRECT("Pianificazione!c1:c800")&amp;INDIRECT("Pianificazione!a1:a800"),0)),"hh:mm"),"")&amp;"-"&amp;IFERROR(TEXT(INDEX(INDIRECT("Pianificazione!f1:f800"),MATCH($A40&amp;E$1,INDIRECT("Pianificazione!c1:c800")&amp;INDIRECT("Pianificazione!a1:a800"),0)),"hh:mm"),"")="-","Riposo",IFERROR(TEXT(INDEX(INDIRECT("Pianificazione!e1:e800"),MATCH($A40&amp;E$1,INDIRECT("Pianificazione!c1:c800")&amp;INDIRECT("Pianificazione!a1:a800"),0)),"hh:mm"),"")&amp;"-"&amp;IFERROR(TEXT(INDEX(INDIRECT("Pianificazione!f1:f800"),MATCH($A40&amp;E$1,INDIRECT("Pianificazione!c1:c800")&amp;INDIRECT("Pianificazione!a1:a800"),0)),"hh:mm"),""))</f>
        <v>Riposo</v>
      </c>
      <c r="F40" s="15" t="str" cm="1">
        <f t="array" aca="1" ref="F40" ca="1">+IF(IFERROR(TEXT(INDEX(INDIRECT("Pianificazione!e1:e800"),MATCH($A40&amp;F$1,INDIRECT("Pianificazione!c1:c800")&amp;INDIRECT("Pianificazione!a1:a800"),0)),"hh:mm"),"")&amp;"-"&amp;IFERROR(TEXT(INDEX(INDIRECT("Pianificazione!f1:f800"),MATCH($A40&amp;F$1,INDIRECT("Pianificazione!c1:c800")&amp;INDIRECT("Pianificazione!a1:a800"),0)),"hh:mm"),"")="-","Riposo",IFERROR(TEXT(INDEX(INDIRECT("Pianificazione!e1:e800"),MATCH($A40&amp;F$1,INDIRECT("Pianificazione!c1:c800")&amp;INDIRECT("Pianificazione!a1:a800"),0)),"hh:mm"),"")&amp;"-"&amp;IFERROR(TEXT(INDEX(INDIRECT("Pianificazione!f1:f800"),MATCH($A40&amp;F$1,INDIRECT("Pianificazione!c1:c800")&amp;INDIRECT("Pianificazione!a1:a800"),0)),"hh:mm"),""))</f>
        <v>Riposo</v>
      </c>
      <c r="G40" s="15" t="str" cm="1">
        <f t="array" aca="1" ref="G40" ca="1">+IF(IFERROR(TEXT(INDEX(INDIRECT("Pianificazione!e1:e800"),MATCH($A40&amp;G$1,INDIRECT("Pianificazione!c1:c800")&amp;INDIRECT("Pianificazione!a1:a800"),0)),"hh:mm"),"")&amp;"-"&amp;IFERROR(TEXT(INDEX(INDIRECT("Pianificazione!f1:f800"),MATCH($A40&amp;G$1,INDIRECT("Pianificazione!c1:c800")&amp;INDIRECT("Pianificazione!a1:a800"),0)),"hh:mm"),"")="-","Riposo",IFERROR(TEXT(INDEX(INDIRECT("Pianificazione!e1:e800"),MATCH($A40&amp;G$1,INDIRECT("Pianificazione!c1:c800")&amp;INDIRECT("Pianificazione!a1:a800"),0)),"hh:mm"),"")&amp;"-"&amp;IFERROR(TEXT(INDEX(INDIRECT("Pianificazione!f1:f800"),MATCH($A40&amp;G$1,INDIRECT("Pianificazione!c1:c800")&amp;INDIRECT("Pianificazione!a1:a800"),0)),"hh:mm"),""))</f>
        <v>Riposo</v>
      </c>
      <c r="H40" s="15" t="str" cm="1">
        <f t="array" aca="1" ref="H40" ca="1">+IF(IFERROR(TEXT(INDEX(INDIRECT("Pianificazione!e1:e800"),MATCH($A40&amp;H$1,INDIRECT("Pianificazione!c1:c800")&amp;INDIRECT("Pianificazione!a1:a800"),0)),"hh:mm"),"")&amp;"-"&amp;IFERROR(TEXT(INDEX(INDIRECT("Pianificazione!f1:f800"),MATCH($A40&amp;H$1,INDIRECT("Pianificazione!c1:c800")&amp;INDIRECT("Pianificazione!a1:a800"),0)),"hh:mm"),"")="-","Riposo",IFERROR(TEXT(INDEX(INDIRECT("Pianificazione!e1:e800"),MATCH($A40&amp;H$1,INDIRECT("Pianificazione!c1:c800")&amp;INDIRECT("Pianificazione!a1:a800"),0)),"hh:mm"),"")&amp;"-"&amp;IFERROR(TEXT(INDEX(INDIRECT("Pianificazione!f1:f800"),MATCH($A40&amp;H$1,INDIRECT("Pianificazione!c1:c800")&amp;INDIRECT("Pianificazione!a1:a800"),0)),"hh:mm"),""))</f>
        <v>Riposo</v>
      </c>
    </row>
    <row r="41" spans="1:8">
      <c r="A41" t="str">
        <f>+Risorse!B41</f>
        <v>Marasa Davide</v>
      </c>
      <c r="B41" s="15" t="str" cm="1">
        <f t="array" aca="1" ref="B41" ca="1">+IF(IFERROR(TEXT(INDEX(INDIRECT("Pianificazione!e1:e800"),MATCH($A41&amp;B$1,INDIRECT("Pianificazione!c1:c800")&amp;INDIRECT("Pianificazione!a1:a800"),0)),"hh:mm"),"")&amp;"-"&amp;IFERROR(TEXT(INDEX(INDIRECT("Pianificazione!f1:f800"),MATCH($A41&amp;B$1,INDIRECT("Pianificazione!c1:c800")&amp;INDIRECT("Pianificazione!a1:a800"),0)),"hh:mm"),"")="-","Riposo",IFERROR(TEXT(INDEX(INDIRECT("Pianificazione!e1:e800"),MATCH($A41&amp;B$1,INDIRECT("Pianificazione!c1:c800")&amp;INDIRECT("Pianificazione!a1:a800"),0)),"hh:mm"),"")&amp;"-"&amp;IFERROR(TEXT(INDEX(INDIRECT("Pianificazione!f1:f800"),MATCH($A41&amp;B$1,INDIRECT("Pianificazione!c1:c800")&amp;INDIRECT("Pianificazione!a1:a800"),0)),"hh:mm"),""))</f>
        <v>Riposo</v>
      </c>
      <c r="C41" s="15" t="str" cm="1">
        <f t="array" aca="1" ref="C41" ca="1">+IF(IFERROR(TEXT(INDEX(INDIRECT("Pianificazione!e1:e800"),MATCH($A41&amp;C$1,INDIRECT("Pianificazione!c1:c800")&amp;INDIRECT("Pianificazione!a1:a800"),0)),"hh:mm"),"")&amp;"-"&amp;IFERROR(TEXT(INDEX(INDIRECT("Pianificazione!f1:f800"),MATCH($A41&amp;C$1,INDIRECT("Pianificazione!c1:c800")&amp;INDIRECT("Pianificazione!a1:a800"),0)),"hh:mm"),"")="-","Riposo",IFERROR(TEXT(INDEX(INDIRECT("Pianificazione!e1:e800"),MATCH($A41&amp;C$1,INDIRECT("Pianificazione!c1:c800")&amp;INDIRECT("Pianificazione!a1:a800"),0)),"hh:mm"),"")&amp;"-"&amp;IFERROR(TEXT(INDEX(INDIRECT("Pianificazione!f1:f800"),MATCH($A41&amp;C$1,INDIRECT("Pianificazione!c1:c800")&amp;INDIRECT("Pianificazione!a1:a800"),0)),"hh:mm"),""))</f>
        <v>Riposo</v>
      </c>
      <c r="D41" s="15" t="str" cm="1">
        <f t="array" aca="1" ref="D41" ca="1">+IF(IFERROR(TEXT(INDEX(INDIRECT("Pianificazione!e1:e800"),MATCH($A41&amp;D$1,INDIRECT("Pianificazione!c1:c800")&amp;INDIRECT("Pianificazione!a1:a800"),0)),"hh:mm"),"")&amp;"-"&amp;IFERROR(TEXT(INDEX(INDIRECT("Pianificazione!f1:f800"),MATCH($A41&amp;D$1,INDIRECT("Pianificazione!c1:c800")&amp;INDIRECT("Pianificazione!a1:a800"),0)),"hh:mm"),"")="-","Riposo",IFERROR(TEXT(INDEX(INDIRECT("Pianificazione!e1:e800"),MATCH($A41&amp;D$1,INDIRECT("Pianificazione!c1:c800")&amp;INDIRECT("Pianificazione!a1:a800"),0)),"hh:mm"),"")&amp;"-"&amp;IFERROR(TEXT(INDEX(INDIRECT("Pianificazione!f1:f800"),MATCH($A41&amp;D$1,INDIRECT("Pianificazione!c1:c800")&amp;INDIRECT("Pianificazione!a1:a800"),0)),"hh:mm"),""))</f>
        <v>Riposo</v>
      </c>
      <c r="E41" s="15" t="str" cm="1">
        <f t="array" aca="1" ref="E41" ca="1">+IF(IFERROR(TEXT(INDEX(INDIRECT("Pianificazione!e1:e800"),MATCH($A41&amp;E$1,INDIRECT("Pianificazione!c1:c800")&amp;INDIRECT("Pianificazione!a1:a800"),0)),"hh:mm"),"")&amp;"-"&amp;IFERROR(TEXT(INDEX(INDIRECT("Pianificazione!f1:f800"),MATCH($A41&amp;E$1,INDIRECT("Pianificazione!c1:c800")&amp;INDIRECT("Pianificazione!a1:a800"),0)),"hh:mm"),"")="-","Riposo",IFERROR(TEXT(INDEX(INDIRECT("Pianificazione!e1:e800"),MATCH($A41&amp;E$1,INDIRECT("Pianificazione!c1:c800")&amp;INDIRECT("Pianificazione!a1:a800"),0)),"hh:mm"),"")&amp;"-"&amp;IFERROR(TEXT(INDEX(INDIRECT("Pianificazione!f1:f800"),MATCH($A41&amp;E$1,INDIRECT("Pianificazione!c1:c800")&amp;INDIRECT("Pianificazione!a1:a800"),0)),"hh:mm"),""))</f>
        <v>Riposo</v>
      </c>
      <c r="F41" s="15" t="str" cm="1">
        <f t="array" aca="1" ref="F41" ca="1">+IF(IFERROR(TEXT(INDEX(INDIRECT("Pianificazione!e1:e800"),MATCH($A41&amp;F$1,INDIRECT("Pianificazione!c1:c800")&amp;INDIRECT("Pianificazione!a1:a800"),0)),"hh:mm"),"")&amp;"-"&amp;IFERROR(TEXT(INDEX(INDIRECT("Pianificazione!f1:f800"),MATCH($A41&amp;F$1,INDIRECT("Pianificazione!c1:c800")&amp;INDIRECT("Pianificazione!a1:a800"),0)),"hh:mm"),"")="-","Riposo",IFERROR(TEXT(INDEX(INDIRECT("Pianificazione!e1:e800"),MATCH($A41&amp;F$1,INDIRECT("Pianificazione!c1:c800")&amp;INDIRECT("Pianificazione!a1:a800"),0)),"hh:mm"),"")&amp;"-"&amp;IFERROR(TEXT(INDEX(INDIRECT("Pianificazione!f1:f800"),MATCH($A41&amp;F$1,INDIRECT("Pianificazione!c1:c800")&amp;INDIRECT("Pianificazione!a1:a800"),0)),"hh:mm"),""))</f>
        <v>Riposo</v>
      </c>
      <c r="G41" s="15" t="str" cm="1">
        <f t="array" aca="1" ref="G41" ca="1">+IF(IFERROR(TEXT(INDEX(INDIRECT("Pianificazione!e1:e800"),MATCH($A41&amp;G$1,INDIRECT("Pianificazione!c1:c800")&amp;INDIRECT("Pianificazione!a1:a800"),0)),"hh:mm"),"")&amp;"-"&amp;IFERROR(TEXT(INDEX(INDIRECT("Pianificazione!f1:f800"),MATCH($A41&amp;G$1,INDIRECT("Pianificazione!c1:c800")&amp;INDIRECT("Pianificazione!a1:a800"),0)),"hh:mm"),"")="-","Riposo",IFERROR(TEXT(INDEX(INDIRECT("Pianificazione!e1:e800"),MATCH($A41&amp;G$1,INDIRECT("Pianificazione!c1:c800")&amp;INDIRECT("Pianificazione!a1:a800"),0)),"hh:mm"),"")&amp;"-"&amp;IFERROR(TEXT(INDEX(INDIRECT("Pianificazione!f1:f800"),MATCH($A41&amp;G$1,INDIRECT("Pianificazione!c1:c800")&amp;INDIRECT("Pianificazione!a1:a800"),0)),"hh:mm"),""))</f>
        <v>Riposo</v>
      </c>
      <c r="H41" s="15" t="str" cm="1">
        <f t="array" aca="1" ref="H41" ca="1">+IF(IFERROR(TEXT(INDEX(INDIRECT("Pianificazione!e1:e800"),MATCH($A41&amp;H$1,INDIRECT("Pianificazione!c1:c800")&amp;INDIRECT("Pianificazione!a1:a800"),0)),"hh:mm"),"")&amp;"-"&amp;IFERROR(TEXT(INDEX(INDIRECT("Pianificazione!f1:f800"),MATCH($A41&amp;H$1,INDIRECT("Pianificazione!c1:c800")&amp;INDIRECT("Pianificazione!a1:a800"),0)),"hh:mm"),"")="-","Riposo",IFERROR(TEXT(INDEX(INDIRECT("Pianificazione!e1:e800"),MATCH($A41&amp;H$1,INDIRECT("Pianificazione!c1:c800")&amp;INDIRECT("Pianificazione!a1:a800"),0)),"hh:mm"),"")&amp;"-"&amp;IFERROR(TEXT(INDEX(INDIRECT("Pianificazione!f1:f800"),MATCH($A41&amp;H$1,INDIRECT("Pianificazione!c1:c800")&amp;INDIRECT("Pianificazione!a1:a800"),0)),"hh:mm"),""))</f>
        <v>Riposo</v>
      </c>
    </row>
    <row r="42" spans="1:8">
      <c r="A42" t="str">
        <f>+Risorse!B42</f>
        <v>Massei Isabella</v>
      </c>
      <c r="B42" s="15" t="str" cm="1">
        <f t="array" aca="1" ref="B42" ca="1">+IF(IFERROR(TEXT(INDEX(INDIRECT("Pianificazione!e1:e800"),MATCH($A42&amp;B$1,INDIRECT("Pianificazione!c1:c800")&amp;INDIRECT("Pianificazione!a1:a800"),0)),"hh:mm"),"")&amp;"-"&amp;IFERROR(TEXT(INDEX(INDIRECT("Pianificazione!f1:f800"),MATCH($A42&amp;B$1,INDIRECT("Pianificazione!c1:c800")&amp;INDIRECT("Pianificazione!a1:a800"),0)),"hh:mm"),"")="-","Riposo",IFERROR(TEXT(INDEX(INDIRECT("Pianificazione!e1:e800"),MATCH($A42&amp;B$1,INDIRECT("Pianificazione!c1:c800")&amp;INDIRECT("Pianificazione!a1:a800"),0)),"hh:mm"),"")&amp;"-"&amp;IFERROR(TEXT(INDEX(INDIRECT("Pianificazione!f1:f800"),MATCH($A42&amp;B$1,INDIRECT("Pianificazione!c1:c800")&amp;INDIRECT("Pianificazione!a1:a800"),0)),"hh:mm"),""))</f>
        <v>Riposo</v>
      </c>
      <c r="C42" s="15" t="str" cm="1">
        <f t="array" aca="1" ref="C42" ca="1">+IF(IFERROR(TEXT(INDEX(INDIRECT("Pianificazione!e1:e800"),MATCH($A42&amp;C$1,INDIRECT("Pianificazione!c1:c800")&amp;INDIRECT("Pianificazione!a1:a800"),0)),"hh:mm"),"")&amp;"-"&amp;IFERROR(TEXT(INDEX(INDIRECT("Pianificazione!f1:f800"),MATCH($A42&amp;C$1,INDIRECT("Pianificazione!c1:c800")&amp;INDIRECT("Pianificazione!a1:a800"),0)),"hh:mm"),"")="-","Riposo",IFERROR(TEXT(INDEX(INDIRECT("Pianificazione!e1:e800"),MATCH($A42&amp;C$1,INDIRECT("Pianificazione!c1:c800")&amp;INDIRECT("Pianificazione!a1:a800"),0)),"hh:mm"),"")&amp;"-"&amp;IFERROR(TEXT(INDEX(INDIRECT("Pianificazione!f1:f800"),MATCH($A42&amp;C$1,INDIRECT("Pianificazione!c1:c800")&amp;INDIRECT("Pianificazione!a1:a800"),0)),"hh:mm"),""))</f>
        <v>Riposo</v>
      </c>
      <c r="D42" s="15" t="str" cm="1">
        <f t="array" aca="1" ref="D42" ca="1">+IF(IFERROR(TEXT(INDEX(INDIRECT("Pianificazione!e1:e800"),MATCH($A42&amp;D$1,INDIRECT("Pianificazione!c1:c800")&amp;INDIRECT("Pianificazione!a1:a800"),0)),"hh:mm"),"")&amp;"-"&amp;IFERROR(TEXT(INDEX(INDIRECT("Pianificazione!f1:f800"),MATCH($A42&amp;D$1,INDIRECT("Pianificazione!c1:c800")&amp;INDIRECT("Pianificazione!a1:a800"),0)),"hh:mm"),"")="-","Riposo",IFERROR(TEXT(INDEX(INDIRECT("Pianificazione!e1:e800"),MATCH($A42&amp;D$1,INDIRECT("Pianificazione!c1:c800")&amp;INDIRECT("Pianificazione!a1:a800"),0)),"hh:mm"),"")&amp;"-"&amp;IFERROR(TEXT(INDEX(INDIRECT("Pianificazione!f1:f800"),MATCH($A42&amp;D$1,INDIRECT("Pianificazione!c1:c800")&amp;INDIRECT("Pianificazione!a1:a800"),0)),"hh:mm"),""))</f>
        <v>Riposo</v>
      </c>
      <c r="E42" s="15" t="str" cm="1">
        <f t="array" aca="1" ref="E42" ca="1">+IF(IFERROR(TEXT(INDEX(INDIRECT("Pianificazione!e1:e800"),MATCH($A42&amp;E$1,INDIRECT("Pianificazione!c1:c800")&amp;INDIRECT("Pianificazione!a1:a800"),0)),"hh:mm"),"")&amp;"-"&amp;IFERROR(TEXT(INDEX(INDIRECT("Pianificazione!f1:f800"),MATCH($A42&amp;E$1,INDIRECT("Pianificazione!c1:c800")&amp;INDIRECT("Pianificazione!a1:a800"),0)),"hh:mm"),"")="-","Riposo",IFERROR(TEXT(INDEX(INDIRECT("Pianificazione!e1:e800"),MATCH($A42&amp;E$1,INDIRECT("Pianificazione!c1:c800")&amp;INDIRECT("Pianificazione!a1:a800"),0)),"hh:mm"),"")&amp;"-"&amp;IFERROR(TEXT(INDEX(INDIRECT("Pianificazione!f1:f800"),MATCH($A42&amp;E$1,INDIRECT("Pianificazione!c1:c800")&amp;INDIRECT("Pianificazione!a1:a800"),0)),"hh:mm"),""))</f>
        <v>Riposo</v>
      </c>
      <c r="F42" s="15" t="str" cm="1">
        <f t="array" aca="1" ref="F42" ca="1">+IF(IFERROR(TEXT(INDEX(INDIRECT("Pianificazione!e1:e800"),MATCH($A42&amp;F$1,INDIRECT("Pianificazione!c1:c800")&amp;INDIRECT("Pianificazione!a1:a800"),0)),"hh:mm"),"")&amp;"-"&amp;IFERROR(TEXT(INDEX(INDIRECT("Pianificazione!f1:f800"),MATCH($A42&amp;F$1,INDIRECT("Pianificazione!c1:c800")&amp;INDIRECT("Pianificazione!a1:a800"),0)),"hh:mm"),"")="-","Riposo",IFERROR(TEXT(INDEX(INDIRECT("Pianificazione!e1:e800"),MATCH($A42&amp;F$1,INDIRECT("Pianificazione!c1:c800")&amp;INDIRECT("Pianificazione!a1:a800"),0)),"hh:mm"),"")&amp;"-"&amp;IFERROR(TEXT(INDEX(INDIRECT("Pianificazione!f1:f800"),MATCH($A42&amp;F$1,INDIRECT("Pianificazione!c1:c800")&amp;INDIRECT("Pianificazione!a1:a800"),0)),"hh:mm"),""))</f>
        <v>Riposo</v>
      </c>
      <c r="G42" s="15" t="str" cm="1">
        <f t="array" aca="1" ref="G42" ca="1">+IF(IFERROR(TEXT(INDEX(INDIRECT("Pianificazione!e1:e800"),MATCH($A42&amp;G$1,INDIRECT("Pianificazione!c1:c800")&amp;INDIRECT("Pianificazione!a1:a800"),0)),"hh:mm"),"")&amp;"-"&amp;IFERROR(TEXT(INDEX(INDIRECT("Pianificazione!f1:f800"),MATCH($A42&amp;G$1,INDIRECT("Pianificazione!c1:c800")&amp;INDIRECT("Pianificazione!a1:a800"),0)),"hh:mm"),"")="-","Riposo",IFERROR(TEXT(INDEX(INDIRECT("Pianificazione!e1:e800"),MATCH($A42&amp;G$1,INDIRECT("Pianificazione!c1:c800")&amp;INDIRECT("Pianificazione!a1:a800"),0)),"hh:mm"),"")&amp;"-"&amp;IFERROR(TEXT(INDEX(INDIRECT("Pianificazione!f1:f800"),MATCH($A42&amp;G$1,INDIRECT("Pianificazione!c1:c800")&amp;INDIRECT("Pianificazione!a1:a800"),0)),"hh:mm"),""))</f>
        <v>Riposo</v>
      </c>
      <c r="H42" s="15" t="str" cm="1">
        <f t="array" aca="1" ref="H42" ca="1">+IF(IFERROR(TEXT(INDEX(INDIRECT("Pianificazione!e1:e800"),MATCH($A42&amp;H$1,INDIRECT("Pianificazione!c1:c800")&amp;INDIRECT("Pianificazione!a1:a800"),0)),"hh:mm"),"")&amp;"-"&amp;IFERROR(TEXT(INDEX(INDIRECT("Pianificazione!f1:f800"),MATCH($A42&amp;H$1,INDIRECT("Pianificazione!c1:c800")&amp;INDIRECT("Pianificazione!a1:a800"),0)),"hh:mm"),"")="-","Riposo",IFERROR(TEXT(INDEX(INDIRECT("Pianificazione!e1:e800"),MATCH($A42&amp;H$1,INDIRECT("Pianificazione!c1:c800")&amp;INDIRECT("Pianificazione!a1:a800"),0)),"hh:mm"),"")&amp;"-"&amp;IFERROR(TEXT(INDEX(INDIRECT("Pianificazione!f1:f800"),MATCH($A42&amp;H$1,INDIRECT("Pianificazione!c1:c800")&amp;INDIRECT("Pianificazione!a1:a800"),0)),"hh:mm"),""))</f>
        <v>Riposo</v>
      </c>
    </row>
    <row r="43" spans="1:8">
      <c r="A43" t="str">
        <f>+Risorse!B43</f>
        <v>Modica Adele</v>
      </c>
      <c r="B43" s="15" t="str" cm="1">
        <f t="array" aca="1" ref="B43" ca="1">+IF(IFERROR(TEXT(INDEX(INDIRECT("Pianificazione!e1:e800"),MATCH($A43&amp;B$1,INDIRECT("Pianificazione!c1:c800")&amp;INDIRECT("Pianificazione!a1:a800"),0)),"hh:mm"),"")&amp;"-"&amp;IFERROR(TEXT(INDEX(INDIRECT("Pianificazione!f1:f800"),MATCH($A43&amp;B$1,INDIRECT("Pianificazione!c1:c800")&amp;INDIRECT("Pianificazione!a1:a800"),0)),"hh:mm"),"")="-","Riposo",IFERROR(TEXT(INDEX(INDIRECT("Pianificazione!e1:e800"),MATCH($A43&amp;B$1,INDIRECT("Pianificazione!c1:c800")&amp;INDIRECT("Pianificazione!a1:a800"),0)),"hh:mm"),"")&amp;"-"&amp;IFERROR(TEXT(INDEX(INDIRECT("Pianificazione!f1:f800"),MATCH($A43&amp;B$1,INDIRECT("Pianificazione!c1:c800")&amp;INDIRECT("Pianificazione!a1:a800"),0)),"hh:mm"),""))</f>
        <v>Riposo</v>
      </c>
      <c r="C43" s="15" t="str" cm="1">
        <f t="array" aca="1" ref="C43" ca="1">+IF(IFERROR(TEXT(INDEX(INDIRECT("Pianificazione!e1:e800"),MATCH($A43&amp;C$1,INDIRECT("Pianificazione!c1:c800")&amp;INDIRECT("Pianificazione!a1:a800"),0)),"hh:mm"),"")&amp;"-"&amp;IFERROR(TEXT(INDEX(INDIRECT("Pianificazione!f1:f800"),MATCH($A43&amp;C$1,INDIRECT("Pianificazione!c1:c800")&amp;INDIRECT("Pianificazione!a1:a800"),0)),"hh:mm"),"")="-","Riposo",IFERROR(TEXT(INDEX(INDIRECT("Pianificazione!e1:e800"),MATCH($A43&amp;C$1,INDIRECT("Pianificazione!c1:c800")&amp;INDIRECT("Pianificazione!a1:a800"),0)),"hh:mm"),"")&amp;"-"&amp;IFERROR(TEXT(INDEX(INDIRECT("Pianificazione!f1:f800"),MATCH($A43&amp;C$1,INDIRECT("Pianificazione!c1:c800")&amp;INDIRECT("Pianificazione!a1:a800"),0)),"hh:mm"),""))</f>
        <v>Riposo</v>
      </c>
      <c r="D43" s="15" t="str" cm="1">
        <f t="array" aca="1" ref="D43" ca="1">+IF(IFERROR(TEXT(INDEX(INDIRECT("Pianificazione!e1:e800"),MATCH($A43&amp;D$1,INDIRECT("Pianificazione!c1:c800")&amp;INDIRECT("Pianificazione!a1:a800"),0)),"hh:mm"),"")&amp;"-"&amp;IFERROR(TEXT(INDEX(INDIRECT("Pianificazione!f1:f800"),MATCH($A43&amp;D$1,INDIRECT("Pianificazione!c1:c800")&amp;INDIRECT("Pianificazione!a1:a800"),0)),"hh:mm"),"")="-","Riposo",IFERROR(TEXT(INDEX(INDIRECT("Pianificazione!e1:e800"),MATCH($A43&amp;D$1,INDIRECT("Pianificazione!c1:c800")&amp;INDIRECT("Pianificazione!a1:a800"),0)),"hh:mm"),"")&amp;"-"&amp;IFERROR(TEXT(INDEX(INDIRECT("Pianificazione!f1:f800"),MATCH($A43&amp;D$1,INDIRECT("Pianificazione!c1:c800")&amp;INDIRECT("Pianificazione!a1:a800"),0)),"hh:mm"),""))</f>
        <v>Riposo</v>
      </c>
      <c r="E43" s="15" t="str" cm="1">
        <f t="array" aca="1" ref="E43" ca="1">+IF(IFERROR(TEXT(INDEX(INDIRECT("Pianificazione!e1:e800"),MATCH($A43&amp;E$1,INDIRECT("Pianificazione!c1:c800")&amp;INDIRECT("Pianificazione!a1:a800"),0)),"hh:mm"),"")&amp;"-"&amp;IFERROR(TEXT(INDEX(INDIRECT("Pianificazione!f1:f800"),MATCH($A43&amp;E$1,INDIRECT("Pianificazione!c1:c800")&amp;INDIRECT("Pianificazione!a1:a800"),0)),"hh:mm"),"")="-","Riposo",IFERROR(TEXT(INDEX(INDIRECT("Pianificazione!e1:e800"),MATCH($A43&amp;E$1,INDIRECT("Pianificazione!c1:c800")&amp;INDIRECT("Pianificazione!a1:a800"),0)),"hh:mm"),"")&amp;"-"&amp;IFERROR(TEXT(INDEX(INDIRECT("Pianificazione!f1:f800"),MATCH($A43&amp;E$1,INDIRECT("Pianificazione!c1:c800")&amp;INDIRECT("Pianificazione!a1:a800"),0)),"hh:mm"),""))</f>
        <v>Riposo</v>
      </c>
      <c r="F43" s="15" t="str" cm="1">
        <f t="array" aca="1" ref="F43" ca="1">+IF(IFERROR(TEXT(INDEX(INDIRECT("Pianificazione!e1:e800"),MATCH($A43&amp;F$1,INDIRECT("Pianificazione!c1:c800")&amp;INDIRECT("Pianificazione!a1:a800"),0)),"hh:mm"),"")&amp;"-"&amp;IFERROR(TEXT(INDEX(INDIRECT("Pianificazione!f1:f800"),MATCH($A43&amp;F$1,INDIRECT("Pianificazione!c1:c800")&amp;INDIRECT("Pianificazione!a1:a800"),0)),"hh:mm"),"")="-","Riposo",IFERROR(TEXT(INDEX(INDIRECT("Pianificazione!e1:e800"),MATCH($A43&amp;F$1,INDIRECT("Pianificazione!c1:c800")&amp;INDIRECT("Pianificazione!a1:a800"),0)),"hh:mm"),"")&amp;"-"&amp;IFERROR(TEXT(INDEX(INDIRECT("Pianificazione!f1:f800"),MATCH($A43&amp;F$1,INDIRECT("Pianificazione!c1:c800")&amp;INDIRECT("Pianificazione!a1:a800"),0)),"hh:mm"),""))</f>
        <v>Riposo</v>
      </c>
      <c r="G43" s="15" t="str" cm="1">
        <f t="array" aca="1" ref="G43" ca="1">+IF(IFERROR(TEXT(INDEX(INDIRECT("Pianificazione!e1:e800"),MATCH($A43&amp;G$1,INDIRECT("Pianificazione!c1:c800")&amp;INDIRECT("Pianificazione!a1:a800"),0)),"hh:mm"),"")&amp;"-"&amp;IFERROR(TEXT(INDEX(INDIRECT("Pianificazione!f1:f800"),MATCH($A43&amp;G$1,INDIRECT("Pianificazione!c1:c800")&amp;INDIRECT("Pianificazione!a1:a800"),0)),"hh:mm"),"")="-","Riposo",IFERROR(TEXT(INDEX(INDIRECT("Pianificazione!e1:e800"),MATCH($A43&amp;G$1,INDIRECT("Pianificazione!c1:c800")&amp;INDIRECT("Pianificazione!a1:a800"),0)),"hh:mm"),"")&amp;"-"&amp;IFERROR(TEXT(INDEX(INDIRECT("Pianificazione!f1:f800"),MATCH($A43&amp;G$1,INDIRECT("Pianificazione!c1:c800")&amp;INDIRECT("Pianificazione!a1:a800"),0)),"hh:mm"),""))</f>
        <v>Riposo</v>
      </c>
      <c r="H43" s="15" t="str" cm="1">
        <f t="array" aca="1" ref="H43" ca="1">+IF(IFERROR(TEXT(INDEX(INDIRECT("Pianificazione!e1:e800"),MATCH($A43&amp;H$1,INDIRECT("Pianificazione!c1:c800")&amp;INDIRECT("Pianificazione!a1:a800"),0)),"hh:mm"),"")&amp;"-"&amp;IFERROR(TEXT(INDEX(INDIRECT("Pianificazione!f1:f800"),MATCH($A43&amp;H$1,INDIRECT("Pianificazione!c1:c800")&amp;INDIRECT("Pianificazione!a1:a800"),0)),"hh:mm"),"")="-","Riposo",IFERROR(TEXT(INDEX(INDIRECT("Pianificazione!e1:e800"),MATCH($A43&amp;H$1,INDIRECT("Pianificazione!c1:c800")&amp;INDIRECT("Pianificazione!a1:a800"),0)),"hh:mm"),"")&amp;"-"&amp;IFERROR(TEXT(INDEX(INDIRECT("Pianificazione!f1:f800"),MATCH($A43&amp;H$1,INDIRECT("Pianificazione!c1:c800")&amp;INDIRECT("Pianificazione!a1:a800"),0)),"hh:mm"),""))</f>
        <v>Riposo</v>
      </c>
    </row>
    <row r="44" spans="1:8">
      <c r="A44" t="str">
        <f>+Risorse!B44</f>
        <v>Monteleone Giuseppe</v>
      </c>
      <c r="B44" s="15" t="str" cm="1">
        <f t="array" aca="1" ref="B44" ca="1">+IF(IFERROR(TEXT(INDEX(INDIRECT("Pianificazione!e1:e800"),MATCH($A44&amp;B$1,INDIRECT("Pianificazione!c1:c800")&amp;INDIRECT("Pianificazione!a1:a800"),0)),"hh:mm"),"")&amp;"-"&amp;IFERROR(TEXT(INDEX(INDIRECT("Pianificazione!f1:f800"),MATCH($A44&amp;B$1,INDIRECT("Pianificazione!c1:c800")&amp;INDIRECT("Pianificazione!a1:a800"),0)),"hh:mm"),"")="-","Riposo",IFERROR(TEXT(INDEX(INDIRECT("Pianificazione!e1:e800"),MATCH($A44&amp;B$1,INDIRECT("Pianificazione!c1:c800")&amp;INDIRECT("Pianificazione!a1:a800"),0)),"hh:mm"),"")&amp;"-"&amp;IFERROR(TEXT(INDEX(INDIRECT("Pianificazione!f1:f800"),MATCH($A44&amp;B$1,INDIRECT("Pianificazione!c1:c800")&amp;INDIRECT("Pianificazione!a1:a800"),0)),"hh:mm"),""))</f>
        <v>Riposo</v>
      </c>
      <c r="C44" s="15" t="str" cm="1">
        <f t="array" aca="1" ref="C44" ca="1">+IF(IFERROR(TEXT(INDEX(INDIRECT("Pianificazione!e1:e800"),MATCH($A44&amp;C$1,INDIRECT("Pianificazione!c1:c800")&amp;INDIRECT("Pianificazione!a1:a800"),0)),"hh:mm"),"")&amp;"-"&amp;IFERROR(TEXT(INDEX(INDIRECT("Pianificazione!f1:f800"),MATCH($A44&amp;C$1,INDIRECT("Pianificazione!c1:c800")&amp;INDIRECT("Pianificazione!a1:a800"),0)),"hh:mm"),"")="-","Riposo",IFERROR(TEXT(INDEX(INDIRECT("Pianificazione!e1:e800"),MATCH($A44&amp;C$1,INDIRECT("Pianificazione!c1:c800")&amp;INDIRECT("Pianificazione!a1:a800"),0)),"hh:mm"),"")&amp;"-"&amp;IFERROR(TEXT(INDEX(INDIRECT("Pianificazione!f1:f800"),MATCH($A44&amp;C$1,INDIRECT("Pianificazione!c1:c800")&amp;INDIRECT("Pianificazione!a1:a800"),0)),"hh:mm"),""))</f>
        <v>Riposo</v>
      </c>
      <c r="D44" s="15" t="str" cm="1">
        <f t="array" aca="1" ref="D44" ca="1">+IF(IFERROR(TEXT(INDEX(INDIRECT("Pianificazione!e1:e800"),MATCH($A44&amp;D$1,INDIRECT("Pianificazione!c1:c800")&amp;INDIRECT("Pianificazione!a1:a800"),0)),"hh:mm"),"")&amp;"-"&amp;IFERROR(TEXT(INDEX(INDIRECT("Pianificazione!f1:f800"),MATCH($A44&amp;D$1,INDIRECT("Pianificazione!c1:c800")&amp;INDIRECT("Pianificazione!a1:a800"),0)),"hh:mm"),"")="-","Riposo",IFERROR(TEXT(INDEX(INDIRECT("Pianificazione!e1:e800"),MATCH($A44&amp;D$1,INDIRECT("Pianificazione!c1:c800")&amp;INDIRECT("Pianificazione!a1:a800"),0)),"hh:mm"),"")&amp;"-"&amp;IFERROR(TEXT(INDEX(INDIRECT("Pianificazione!f1:f800"),MATCH($A44&amp;D$1,INDIRECT("Pianificazione!c1:c800")&amp;INDIRECT("Pianificazione!a1:a800"),0)),"hh:mm"),""))</f>
        <v>Riposo</v>
      </c>
      <c r="E44" s="15" t="str" cm="1">
        <f t="array" aca="1" ref="E44" ca="1">+IF(IFERROR(TEXT(INDEX(INDIRECT("Pianificazione!e1:e800"),MATCH($A44&amp;E$1,INDIRECT("Pianificazione!c1:c800")&amp;INDIRECT("Pianificazione!a1:a800"),0)),"hh:mm"),"")&amp;"-"&amp;IFERROR(TEXT(INDEX(INDIRECT("Pianificazione!f1:f800"),MATCH($A44&amp;E$1,INDIRECT("Pianificazione!c1:c800")&amp;INDIRECT("Pianificazione!a1:a800"),0)),"hh:mm"),"")="-","Riposo",IFERROR(TEXT(INDEX(INDIRECT("Pianificazione!e1:e800"),MATCH($A44&amp;E$1,INDIRECT("Pianificazione!c1:c800")&amp;INDIRECT("Pianificazione!a1:a800"),0)),"hh:mm"),"")&amp;"-"&amp;IFERROR(TEXT(INDEX(INDIRECT("Pianificazione!f1:f800"),MATCH($A44&amp;E$1,INDIRECT("Pianificazione!c1:c800")&amp;INDIRECT("Pianificazione!a1:a800"),0)),"hh:mm"),""))</f>
        <v>Riposo</v>
      </c>
      <c r="F44" s="15" t="str" cm="1">
        <f t="array" aca="1" ref="F44" ca="1">+IF(IFERROR(TEXT(INDEX(INDIRECT("Pianificazione!e1:e800"),MATCH($A44&amp;F$1,INDIRECT("Pianificazione!c1:c800")&amp;INDIRECT("Pianificazione!a1:a800"),0)),"hh:mm"),"")&amp;"-"&amp;IFERROR(TEXT(INDEX(INDIRECT("Pianificazione!f1:f800"),MATCH($A44&amp;F$1,INDIRECT("Pianificazione!c1:c800")&amp;INDIRECT("Pianificazione!a1:a800"),0)),"hh:mm"),"")="-","Riposo",IFERROR(TEXT(INDEX(INDIRECT("Pianificazione!e1:e800"),MATCH($A44&amp;F$1,INDIRECT("Pianificazione!c1:c800")&amp;INDIRECT("Pianificazione!a1:a800"),0)),"hh:mm"),"")&amp;"-"&amp;IFERROR(TEXT(INDEX(INDIRECT("Pianificazione!f1:f800"),MATCH($A44&amp;F$1,INDIRECT("Pianificazione!c1:c800")&amp;INDIRECT("Pianificazione!a1:a800"),0)),"hh:mm"),""))</f>
        <v>Riposo</v>
      </c>
      <c r="G44" s="15" t="str" cm="1">
        <f t="array" aca="1" ref="G44" ca="1">+IF(IFERROR(TEXT(INDEX(INDIRECT("Pianificazione!e1:e800"),MATCH($A44&amp;G$1,INDIRECT("Pianificazione!c1:c800")&amp;INDIRECT("Pianificazione!a1:a800"),0)),"hh:mm"),"")&amp;"-"&amp;IFERROR(TEXT(INDEX(INDIRECT("Pianificazione!f1:f800"),MATCH($A44&amp;G$1,INDIRECT("Pianificazione!c1:c800")&amp;INDIRECT("Pianificazione!a1:a800"),0)),"hh:mm"),"")="-","Riposo",IFERROR(TEXT(INDEX(INDIRECT("Pianificazione!e1:e800"),MATCH($A44&amp;G$1,INDIRECT("Pianificazione!c1:c800")&amp;INDIRECT("Pianificazione!a1:a800"),0)),"hh:mm"),"")&amp;"-"&amp;IFERROR(TEXT(INDEX(INDIRECT("Pianificazione!f1:f800"),MATCH($A44&amp;G$1,INDIRECT("Pianificazione!c1:c800")&amp;INDIRECT("Pianificazione!a1:a800"),0)),"hh:mm"),""))</f>
        <v>Riposo</v>
      </c>
      <c r="H44" s="15" t="str" cm="1">
        <f t="array" aca="1" ref="H44" ca="1">+IF(IFERROR(TEXT(INDEX(INDIRECT("Pianificazione!e1:e800"),MATCH($A44&amp;H$1,INDIRECT("Pianificazione!c1:c800")&amp;INDIRECT("Pianificazione!a1:a800"),0)),"hh:mm"),"")&amp;"-"&amp;IFERROR(TEXT(INDEX(INDIRECT("Pianificazione!f1:f800"),MATCH($A44&amp;H$1,INDIRECT("Pianificazione!c1:c800")&amp;INDIRECT("Pianificazione!a1:a800"),0)),"hh:mm"),"")="-","Riposo",IFERROR(TEXT(INDEX(INDIRECT("Pianificazione!e1:e800"),MATCH($A44&amp;H$1,INDIRECT("Pianificazione!c1:c800")&amp;INDIRECT("Pianificazione!a1:a800"),0)),"hh:mm"),"")&amp;"-"&amp;IFERROR(TEXT(INDEX(INDIRECT("Pianificazione!f1:f800"),MATCH($A44&amp;H$1,INDIRECT("Pianificazione!c1:c800")&amp;INDIRECT("Pianificazione!a1:a800"),0)),"hh:mm"),""))</f>
        <v>Riposo</v>
      </c>
    </row>
    <row r="45" spans="1:8">
      <c r="A45" t="str">
        <f>+Risorse!B45</f>
        <v>Navarra Annunziata</v>
      </c>
      <c r="B45" s="15" t="str" cm="1">
        <f t="array" aca="1" ref="B45" ca="1">+IF(IFERROR(TEXT(INDEX(INDIRECT("Pianificazione!e1:e800"),MATCH($A45&amp;B$1,INDIRECT("Pianificazione!c1:c800")&amp;INDIRECT("Pianificazione!a1:a800"),0)),"hh:mm"),"")&amp;"-"&amp;IFERROR(TEXT(INDEX(INDIRECT("Pianificazione!f1:f800"),MATCH($A45&amp;B$1,INDIRECT("Pianificazione!c1:c800")&amp;INDIRECT("Pianificazione!a1:a800"),0)),"hh:mm"),"")="-","Riposo",IFERROR(TEXT(INDEX(INDIRECT("Pianificazione!e1:e800"),MATCH($A45&amp;B$1,INDIRECT("Pianificazione!c1:c800")&amp;INDIRECT("Pianificazione!a1:a800"),0)),"hh:mm"),"")&amp;"-"&amp;IFERROR(TEXT(INDEX(INDIRECT("Pianificazione!f1:f800"),MATCH($A45&amp;B$1,INDIRECT("Pianificazione!c1:c800")&amp;INDIRECT("Pianificazione!a1:a800"),0)),"hh:mm"),""))</f>
        <v>Riposo</v>
      </c>
      <c r="C45" s="15" t="str" cm="1">
        <f t="array" aca="1" ref="C45" ca="1">+IF(IFERROR(TEXT(INDEX(INDIRECT("Pianificazione!e1:e800"),MATCH($A45&amp;C$1,INDIRECT("Pianificazione!c1:c800")&amp;INDIRECT("Pianificazione!a1:a800"),0)),"hh:mm"),"")&amp;"-"&amp;IFERROR(TEXT(INDEX(INDIRECT("Pianificazione!f1:f800"),MATCH($A45&amp;C$1,INDIRECT("Pianificazione!c1:c800")&amp;INDIRECT("Pianificazione!a1:a800"),0)),"hh:mm"),"")="-","Riposo",IFERROR(TEXT(INDEX(INDIRECT("Pianificazione!e1:e800"),MATCH($A45&amp;C$1,INDIRECT("Pianificazione!c1:c800")&amp;INDIRECT("Pianificazione!a1:a800"),0)),"hh:mm"),"")&amp;"-"&amp;IFERROR(TEXT(INDEX(INDIRECT("Pianificazione!f1:f800"),MATCH($A45&amp;C$1,INDIRECT("Pianificazione!c1:c800")&amp;INDIRECT("Pianificazione!a1:a800"),0)),"hh:mm"),""))</f>
        <v>Riposo</v>
      </c>
      <c r="D45" s="15" t="str" cm="1">
        <f t="array" aca="1" ref="D45" ca="1">+IF(IFERROR(TEXT(INDEX(INDIRECT("Pianificazione!e1:e800"),MATCH($A45&amp;D$1,INDIRECT("Pianificazione!c1:c800")&amp;INDIRECT("Pianificazione!a1:a800"),0)),"hh:mm"),"")&amp;"-"&amp;IFERROR(TEXT(INDEX(INDIRECT("Pianificazione!f1:f800"),MATCH($A45&amp;D$1,INDIRECT("Pianificazione!c1:c800")&amp;INDIRECT("Pianificazione!a1:a800"),0)),"hh:mm"),"")="-","Riposo",IFERROR(TEXT(INDEX(INDIRECT("Pianificazione!e1:e800"),MATCH($A45&amp;D$1,INDIRECT("Pianificazione!c1:c800")&amp;INDIRECT("Pianificazione!a1:a800"),0)),"hh:mm"),"")&amp;"-"&amp;IFERROR(TEXT(INDEX(INDIRECT("Pianificazione!f1:f800"),MATCH($A45&amp;D$1,INDIRECT("Pianificazione!c1:c800")&amp;INDIRECT("Pianificazione!a1:a800"),0)),"hh:mm"),""))</f>
        <v>Riposo</v>
      </c>
      <c r="E45" s="15" t="str" cm="1">
        <f t="array" aca="1" ref="E45" ca="1">+IF(IFERROR(TEXT(INDEX(INDIRECT("Pianificazione!e1:e800"),MATCH($A45&amp;E$1,INDIRECT("Pianificazione!c1:c800")&amp;INDIRECT("Pianificazione!a1:a800"),0)),"hh:mm"),"")&amp;"-"&amp;IFERROR(TEXT(INDEX(INDIRECT("Pianificazione!f1:f800"),MATCH($A45&amp;E$1,INDIRECT("Pianificazione!c1:c800")&amp;INDIRECT("Pianificazione!a1:a800"),0)),"hh:mm"),"")="-","Riposo",IFERROR(TEXT(INDEX(INDIRECT("Pianificazione!e1:e800"),MATCH($A45&amp;E$1,INDIRECT("Pianificazione!c1:c800")&amp;INDIRECT("Pianificazione!a1:a800"),0)),"hh:mm"),"")&amp;"-"&amp;IFERROR(TEXT(INDEX(INDIRECT("Pianificazione!f1:f800"),MATCH($A45&amp;E$1,INDIRECT("Pianificazione!c1:c800")&amp;INDIRECT("Pianificazione!a1:a800"),0)),"hh:mm"),""))</f>
        <v>Riposo</v>
      </c>
      <c r="F45" s="15" t="str" cm="1">
        <f t="array" aca="1" ref="F45" ca="1">+IF(IFERROR(TEXT(INDEX(INDIRECT("Pianificazione!e1:e800"),MATCH($A45&amp;F$1,INDIRECT("Pianificazione!c1:c800")&amp;INDIRECT("Pianificazione!a1:a800"),0)),"hh:mm"),"")&amp;"-"&amp;IFERROR(TEXT(INDEX(INDIRECT("Pianificazione!f1:f800"),MATCH($A45&amp;F$1,INDIRECT("Pianificazione!c1:c800")&amp;INDIRECT("Pianificazione!a1:a800"),0)),"hh:mm"),"")="-","Riposo",IFERROR(TEXT(INDEX(INDIRECT("Pianificazione!e1:e800"),MATCH($A45&amp;F$1,INDIRECT("Pianificazione!c1:c800")&amp;INDIRECT("Pianificazione!a1:a800"),0)),"hh:mm"),"")&amp;"-"&amp;IFERROR(TEXT(INDEX(INDIRECT("Pianificazione!f1:f800"),MATCH($A45&amp;F$1,INDIRECT("Pianificazione!c1:c800")&amp;INDIRECT("Pianificazione!a1:a800"),0)),"hh:mm"),""))</f>
        <v>Riposo</v>
      </c>
      <c r="G45" s="15" t="str" cm="1">
        <f t="array" aca="1" ref="G45" ca="1">+IF(IFERROR(TEXT(INDEX(INDIRECT("Pianificazione!e1:e800"),MATCH($A45&amp;G$1,INDIRECT("Pianificazione!c1:c800")&amp;INDIRECT("Pianificazione!a1:a800"),0)),"hh:mm"),"")&amp;"-"&amp;IFERROR(TEXT(INDEX(INDIRECT("Pianificazione!f1:f800"),MATCH($A45&amp;G$1,INDIRECT("Pianificazione!c1:c800")&amp;INDIRECT("Pianificazione!a1:a800"),0)),"hh:mm"),"")="-","Riposo",IFERROR(TEXT(INDEX(INDIRECT("Pianificazione!e1:e800"),MATCH($A45&amp;G$1,INDIRECT("Pianificazione!c1:c800")&amp;INDIRECT("Pianificazione!a1:a800"),0)),"hh:mm"),"")&amp;"-"&amp;IFERROR(TEXT(INDEX(INDIRECT("Pianificazione!f1:f800"),MATCH($A45&amp;G$1,INDIRECT("Pianificazione!c1:c800")&amp;INDIRECT("Pianificazione!a1:a800"),0)),"hh:mm"),""))</f>
        <v>Riposo</v>
      </c>
      <c r="H45" s="15" t="str" cm="1">
        <f t="array" aca="1" ref="H45" ca="1">+IF(IFERROR(TEXT(INDEX(INDIRECT("Pianificazione!e1:e800"),MATCH($A45&amp;H$1,INDIRECT("Pianificazione!c1:c800")&amp;INDIRECT("Pianificazione!a1:a800"),0)),"hh:mm"),"")&amp;"-"&amp;IFERROR(TEXT(INDEX(INDIRECT("Pianificazione!f1:f800"),MATCH($A45&amp;H$1,INDIRECT("Pianificazione!c1:c800")&amp;INDIRECT("Pianificazione!a1:a800"),0)),"hh:mm"),"")="-","Riposo",IFERROR(TEXT(INDEX(INDIRECT("Pianificazione!e1:e800"),MATCH($A45&amp;H$1,INDIRECT("Pianificazione!c1:c800")&amp;INDIRECT("Pianificazione!a1:a800"),0)),"hh:mm"),"")&amp;"-"&amp;IFERROR(TEXT(INDEX(INDIRECT("Pianificazione!f1:f800"),MATCH($A45&amp;H$1,INDIRECT("Pianificazione!c1:c800")&amp;INDIRECT("Pianificazione!a1:a800"),0)),"hh:mm"),""))</f>
        <v>Riposo</v>
      </c>
    </row>
    <row r="46" spans="1:8">
      <c r="A46" t="str">
        <f>+Risorse!B46</f>
        <v>Ortani Caterina</v>
      </c>
      <c r="B46" s="15" t="str" cm="1">
        <f t="array" aca="1" ref="B46" ca="1">+IF(IFERROR(TEXT(INDEX(INDIRECT("Pianificazione!e1:e800"),MATCH($A46&amp;B$1,INDIRECT("Pianificazione!c1:c800")&amp;INDIRECT("Pianificazione!a1:a800"),0)),"hh:mm"),"")&amp;"-"&amp;IFERROR(TEXT(INDEX(INDIRECT("Pianificazione!f1:f800"),MATCH($A46&amp;B$1,INDIRECT("Pianificazione!c1:c800")&amp;INDIRECT("Pianificazione!a1:a800"),0)),"hh:mm"),"")="-","Riposo",IFERROR(TEXT(INDEX(INDIRECT("Pianificazione!e1:e800"),MATCH($A46&amp;B$1,INDIRECT("Pianificazione!c1:c800")&amp;INDIRECT("Pianificazione!a1:a800"),0)),"hh:mm"),"")&amp;"-"&amp;IFERROR(TEXT(INDEX(INDIRECT("Pianificazione!f1:f800"),MATCH($A46&amp;B$1,INDIRECT("Pianificazione!c1:c800")&amp;INDIRECT("Pianificazione!a1:a800"),0)),"hh:mm"),""))</f>
        <v>Riposo</v>
      </c>
      <c r="C46" s="15" t="str" cm="1">
        <f t="array" aca="1" ref="C46" ca="1">+IF(IFERROR(TEXT(INDEX(INDIRECT("Pianificazione!e1:e800"),MATCH($A46&amp;C$1,INDIRECT("Pianificazione!c1:c800")&amp;INDIRECT("Pianificazione!a1:a800"),0)),"hh:mm"),"")&amp;"-"&amp;IFERROR(TEXT(INDEX(INDIRECT("Pianificazione!f1:f800"),MATCH($A46&amp;C$1,INDIRECT("Pianificazione!c1:c800")&amp;INDIRECT("Pianificazione!a1:a800"),0)),"hh:mm"),"")="-","Riposo",IFERROR(TEXT(INDEX(INDIRECT("Pianificazione!e1:e800"),MATCH($A46&amp;C$1,INDIRECT("Pianificazione!c1:c800")&amp;INDIRECT("Pianificazione!a1:a800"),0)),"hh:mm"),"")&amp;"-"&amp;IFERROR(TEXT(INDEX(INDIRECT("Pianificazione!f1:f800"),MATCH($A46&amp;C$1,INDIRECT("Pianificazione!c1:c800")&amp;INDIRECT("Pianificazione!a1:a800"),0)),"hh:mm"),""))</f>
        <v>Riposo</v>
      </c>
      <c r="D46" s="15" t="str" cm="1">
        <f t="array" aca="1" ref="D46" ca="1">+IF(IFERROR(TEXT(INDEX(INDIRECT("Pianificazione!e1:e800"),MATCH($A46&amp;D$1,INDIRECT("Pianificazione!c1:c800")&amp;INDIRECT("Pianificazione!a1:a800"),0)),"hh:mm"),"")&amp;"-"&amp;IFERROR(TEXT(INDEX(INDIRECT("Pianificazione!f1:f800"),MATCH($A46&amp;D$1,INDIRECT("Pianificazione!c1:c800")&amp;INDIRECT("Pianificazione!a1:a800"),0)),"hh:mm"),"")="-","Riposo",IFERROR(TEXT(INDEX(INDIRECT("Pianificazione!e1:e800"),MATCH($A46&amp;D$1,INDIRECT("Pianificazione!c1:c800")&amp;INDIRECT("Pianificazione!a1:a800"),0)),"hh:mm"),"")&amp;"-"&amp;IFERROR(TEXT(INDEX(INDIRECT("Pianificazione!f1:f800"),MATCH($A46&amp;D$1,INDIRECT("Pianificazione!c1:c800")&amp;INDIRECT("Pianificazione!a1:a800"),0)),"hh:mm"),""))</f>
        <v>Riposo</v>
      </c>
      <c r="E46" s="15" t="str" cm="1">
        <f t="array" aca="1" ref="E46" ca="1">+IF(IFERROR(TEXT(INDEX(INDIRECT("Pianificazione!e1:e800"),MATCH($A46&amp;E$1,INDIRECT("Pianificazione!c1:c800")&amp;INDIRECT("Pianificazione!a1:a800"),0)),"hh:mm"),"")&amp;"-"&amp;IFERROR(TEXT(INDEX(INDIRECT("Pianificazione!f1:f800"),MATCH($A46&amp;E$1,INDIRECT("Pianificazione!c1:c800")&amp;INDIRECT("Pianificazione!a1:a800"),0)),"hh:mm"),"")="-","Riposo",IFERROR(TEXT(INDEX(INDIRECT("Pianificazione!e1:e800"),MATCH($A46&amp;E$1,INDIRECT("Pianificazione!c1:c800")&amp;INDIRECT("Pianificazione!a1:a800"),0)),"hh:mm"),"")&amp;"-"&amp;IFERROR(TEXT(INDEX(INDIRECT("Pianificazione!f1:f800"),MATCH($A46&amp;E$1,INDIRECT("Pianificazione!c1:c800")&amp;INDIRECT("Pianificazione!a1:a800"),0)),"hh:mm"),""))</f>
        <v>Riposo</v>
      </c>
      <c r="F46" s="15" t="str" cm="1">
        <f t="array" aca="1" ref="F46" ca="1">+IF(IFERROR(TEXT(INDEX(INDIRECT("Pianificazione!e1:e800"),MATCH($A46&amp;F$1,INDIRECT("Pianificazione!c1:c800")&amp;INDIRECT("Pianificazione!a1:a800"),0)),"hh:mm"),"")&amp;"-"&amp;IFERROR(TEXT(INDEX(INDIRECT("Pianificazione!f1:f800"),MATCH($A46&amp;F$1,INDIRECT("Pianificazione!c1:c800")&amp;INDIRECT("Pianificazione!a1:a800"),0)),"hh:mm"),"")="-","Riposo",IFERROR(TEXT(INDEX(INDIRECT("Pianificazione!e1:e800"),MATCH($A46&amp;F$1,INDIRECT("Pianificazione!c1:c800")&amp;INDIRECT("Pianificazione!a1:a800"),0)),"hh:mm"),"")&amp;"-"&amp;IFERROR(TEXT(INDEX(INDIRECT("Pianificazione!f1:f800"),MATCH($A46&amp;F$1,INDIRECT("Pianificazione!c1:c800")&amp;INDIRECT("Pianificazione!a1:a800"),0)),"hh:mm"),""))</f>
        <v>Riposo</v>
      </c>
      <c r="G46" s="15" t="str" cm="1">
        <f t="array" aca="1" ref="G46" ca="1">+IF(IFERROR(TEXT(INDEX(INDIRECT("Pianificazione!e1:e800"),MATCH($A46&amp;G$1,INDIRECT("Pianificazione!c1:c800")&amp;INDIRECT("Pianificazione!a1:a800"),0)),"hh:mm"),"")&amp;"-"&amp;IFERROR(TEXT(INDEX(INDIRECT("Pianificazione!f1:f800"),MATCH($A46&amp;G$1,INDIRECT("Pianificazione!c1:c800")&amp;INDIRECT("Pianificazione!a1:a800"),0)),"hh:mm"),"")="-","Riposo",IFERROR(TEXT(INDEX(INDIRECT("Pianificazione!e1:e800"),MATCH($A46&amp;G$1,INDIRECT("Pianificazione!c1:c800")&amp;INDIRECT("Pianificazione!a1:a800"),0)),"hh:mm"),"")&amp;"-"&amp;IFERROR(TEXT(INDEX(INDIRECT("Pianificazione!f1:f800"),MATCH($A46&amp;G$1,INDIRECT("Pianificazione!c1:c800")&amp;INDIRECT("Pianificazione!a1:a800"),0)),"hh:mm"),""))</f>
        <v>Riposo</v>
      </c>
      <c r="H46" s="15" t="str" cm="1">
        <f t="array" aca="1" ref="H46" ca="1">+IF(IFERROR(TEXT(INDEX(INDIRECT("Pianificazione!e1:e800"),MATCH($A46&amp;H$1,INDIRECT("Pianificazione!c1:c800")&amp;INDIRECT("Pianificazione!a1:a800"),0)),"hh:mm"),"")&amp;"-"&amp;IFERROR(TEXT(INDEX(INDIRECT("Pianificazione!f1:f800"),MATCH($A46&amp;H$1,INDIRECT("Pianificazione!c1:c800")&amp;INDIRECT("Pianificazione!a1:a800"),0)),"hh:mm"),"")="-","Riposo",IFERROR(TEXT(INDEX(INDIRECT("Pianificazione!e1:e800"),MATCH($A46&amp;H$1,INDIRECT("Pianificazione!c1:c800")&amp;INDIRECT("Pianificazione!a1:a800"),0)),"hh:mm"),"")&amp;"-"&amp;IFERROR(TEXT(INDEX(INDIRECT("Pianificazione!f1:f800"),MATCH($A46&amp;H$1,INDIRECT("Pianificazione!c1:c800")&amp;INDIRECT("Pianificazione!a1:a800"),0)),"hh:mm"),""))</f>
        <v>Riposo</v>
      </c>
    </row>
    <row r="47" spans="1:8">
      <c r="A47" t="str">
        <f>+Risorse!B47</f>
        <v>Patellaro Antonella</v>
      </c>
      <c r="B47" s="15" t="str" cm="1">
        <f t="array" aca="1" ref="B47" ca="1">+IF(IFERROR(TEXT(INDEX(INDIRECT("Pianificazione!e1:e800"),MATCH($A47&amp;B$1,INDIRECT("Pianificazione!c1:c800")&amp;INDIRECT("Pianificazione!a1:a800"),0)),"hh:mm"),"")&amp;"-"&amp;IFERROR(TEXT(INDEX(INDIRECT("Pianificazione!f1:f800"),MATCH($A47&amp;B$1,INDIRECT("Pianificazione!c1:c800")&amp;INDIRECT("Pianificazione!a1:a800"),0)),"hh:mm"),"")="-","Riposo",IFERROR(TEXT(INDEX(INDIRECT("Pianificazione!e1:e800"),MATCH($A47&amp;B$1,INDIRECT("Pianificazione!c1:c800")&amp;INDIRECT("Pianificazione!a1:a800"),0)),"hh:mm"),"")&amp;"-"&amp;IFERROR(TEXT(INDEX(INDIRECT("Pianificazione!f1:f800"),MATCH($A47&amp;B$1,INDIRECT("Pianificazione!c1:c800")&amp;INDIRECT("Pianificazione!a1:a800"),0)),"hh:mm"),""))</f>
        <v>Riposo</v>
      </c>
      <c r="C47" s="15" t="str" cm="1">
        <f t="array" aca="1" ref="C47" ca="1">+IF(IFERROR(TEXT(INDEX(INDIRECT("Pianificazione!e1:e800"),MATCH($A47&amp;C$1,INDIRECT("Pianificazione!c1:c800")&amp;INDIRECT("Pianificazione!a1:a800"),0)),"hh:mm"),"")&amp;"-"&amp;IFERROR(TEXT(INDEX(INDIRECT("Pianificazione!f1:f800"),MATCH($A47&amp;C$1,INDIRECT("Pianificazione!c1:c800")&amp;INDIRECT("Pianificazione!a1:a800"),0)),"hh:mm"),"")="-","Riposo",IFERROR(TEXT(INDEX(INDIRECT("Pianificazione!e1:e800"),MATCH($A47&amp;C$1,INDIRECT("Pianificazione!c1:c800")&amp;INDIRECT("Pianificazione!a1:a800"),0)),"hh:mm"),"")&amp;"-"&amp;IFERROR(TEXT(INDEX(INDIRECT("Pianificazione!f1:f800"),MATCH($A47&amp;C$1,INDIRECT("Pianificazione!c1:c800")&amp;INDIRECT("Pianificazione!a1:a800"),0)),"hh:mm"),""))</f>
        <v>Riposo</v>
      </c>
      <c r="D47" s="15" t="str" cm="1">
        <f t="array" aca="1" ref="D47" ca="1">+IF(IFERROR(TEXT(INDEX(INDIRECT("Pianificazione!e1:e800"),MATCH($A47&amp;D$1,INDIRECT("Pianificazione!c1:c800")&amp;INDIRECT("Pianificazione!a1:a800"),0)),"hh:mm"),"")&amp;"-"&amp;IFERROR(TEXT(INDEX(INDIRECT("Pianificazione!f1:f800"),MATCH($A47&amp;D$1,INDIRECT("Pianificazione!c1:c800")&amp;INDIRECT("Pianificazione!a1:a800"),0)),"hh:mm"),"")="-","Riposo",IFERROR(TEXT(INDEX(INDIRECT("Pianificazione!e1:e800"),MATCH($A47&amp;D$1,INDIRECT("Pianificazione!c1:c800")&amp;INDIRECT("Pianificazione!a1:a800"),0)),"hh:mm"),"")&amp;"-"&amp;IFERROR(TEXT(INDEX(INDIRECT("Pianificazione!f1:f800"),MATCH($A47&amp;D$1,INDIRECT("Pianificazione!c1:c800")&amp;INDIRECT("Pianificazione!a1:a800"),0)),"hh:mm"),""))</f>
        <v>Riposo</v>
      </c>
      <c r="E47" s="15" t="str" cm="1">
        <f t="array" aca="1" ref="E47" ca="1">+IF(IFERROR(TEXT(INDEX(INDIRECT("Pianificazione!e1:e800"),MATCH($A47&amp;E$1,INDIRECT("Pianificazione!c1:c800")&amp;INDIRECT("Pianificazione!a1:a800"),0)),"hh:mm"),"")&amp;"-"&amp;IFERROR(TEXT(INDEX(INDIRECT("Pianificazione!f1:f800"),MATCH($A47&amp;E$1,INDIRECT("Pianificazione!c1:c800")&amp;INDIRECT("Pianificazione!a1:a800"),0)),"hh:mm"),"")="-","Riposo",IFERROR(TEXT(INDEX(INDIRECT("Pianificazione!e1:e800"),MATCH($A47&amp;E$1,INDIRECT("Pianificazione!c1:c800")&amp;INDIRECT("Pianificazione!a1:a800"),0)),"hh:mm"),"")&amp;"-"&amp;IFERROR(TEXT(INDEX(INDIRECT("Pianificazione!f1:f800"),MATCH($A47&amp;E$1,INDIRECT("Pianificazione!c1:c800")&amp;INDIRECT("Pianificazione!a1:a800"),0)),"hh:mm"),""))</f>
        <v>Riposo</v>
      </c>
      <c r="F47" s="15" t="str" cm="1">
        <f t="array" aca="1" ref="F47" ca="1">+IF(IFERROR(TEXT(INDEX(INDIRECT("Pianificazione!e1:e800"),MATCH($A47&amp;F$1,INDIRECT("Pianificazione!c1:c800")&amp;INDIRECT("Pianificazione!a1:a800"),0)),"hh:mm"),"")&amp;"-"&amp;IFERROR(TEXT(INDEX(INDIRECT("Pianificazione!f1:f800"),MATCH($A47&amp;F$1,INDIRECT("Pianificazione!c1:c800")&amp;INDIRECT("Pianificazione!a1:a800"),0)),"hh:mm"),"")="-","Riposo",IFERROR(TEXT(INDEX(INDIRECT("Pianificazione!e1:e800"),MATCH($A47&amp;F$1,INDIRECT("Pianificazione!c1:c800")&amp;INDIRECT("Pianificazione!a1:a800"),0)),"hh:mm"),"")&amp;"-"&amp;IFERROR(TEXT(INDEX(INDIRECT("Pianificazione!f1:f800"),MATCH($A47&amp;F$1,INDIRECT("Pianificazione!c1:c800")&amp;INDIRECT("Pianificazione!a1:a800"),0)),"hh:mm"),""))</f>
        <v>Riposo</v>
      </c>
      <c r="G47" s="15" t="str" cm="1">
        <f t="array" aca="1" ref="G47" ca="1">+IF(IFERROR(TEXT(INDEX(INDIRECT("Pianificazione!e1:e800"),MATCH($A47&amp;G$1,INDIRECT("Pianificazione!c1:c800")&amp;INDIRECT("Pianificazione!a1:a800"),0)),"hh:mm"),"")&amp;"-"&amp;IFERROR(TEXT(INDEX(INDIRECT("Pianificazione!f1:f800"),MATCH($A47&amp;G$1,INDIRECT("Pianificazione!c1:c800")&amp;INDIRECT("Pianificazione!a1:a800"),0)),"hh:mm"),"")="-","Riposo",IFERROR(TEXT(INDEX(INDIRECT("Pianificazione!e1:e800"),MATCH($A47&amp;G$1,INDIRECT("Pianificazione!c1:c800")&amp;INDIRECT("Pianificazione!a1:a800"),0)),"hh:mm"),"")&amp;"-"&amp;IFERROR(TEXT(INDEX(INDIRECT("Pianificazione!f1:f800"),MATCH($A47&amp;G$1,INDIRECT("Pianificazione!c1:c800")&amp;INDIRECT("Pianificazione!a1:a800"),0)),"hh:mm"),""))</f>
        <v>Riposo</v>
      </c>
      <c r="H47" s="15" t="str" cm="1">
        <f t="array" aca="1" ref="H47" ca="1">+IF(IFERROR(TEXT(INDEX(INDIRECT("Pianificazione!e1:e800"),MATCH($A47&amp;H$1,INDIRECT("Pianificazione!c1:c800")&amp;INDIRECT("Pianificazione!a1:a800"),0)),"hh:mm"),"")&amp;"-"&amp;IFERROR(TEXT(INDEX(INDIRECT("Pianificazione!f1:f800"),MATCH($A47&amp;H$1,INDIRECT("Pianificazione!c1:c800")&amp;INDIRECT("Pianificazione!a1:a800"),0)),"hh:mm"),"")="-","Riposo",IFERROR(TEXT(INDEX(INDIRECT("Pianificazione!e1:e800"),MATCH($A47&amp;H$1,INDIRECT("Pianificazione!c1:c800")&amp;INDIRECT("Pianificazione!a1:a800"),0)),"hh:mm"),"")&amp;"-"&amp;IFERROR(TEXT(INDEX(INDIRECT("Pianificazione!f1:f800"),MATCH($A47&amp;H$1,INDIRECT("Pianificazione!c1:c800")&amp;INDIRECT("Pianificazione!a1:a800"),0)),"hh:mm"),""))</f>
        <v>Riposo</v>
      </c>
    </row>
    <row r="48" spans="1:8">
      <c r="A48" t="str">
        <f>+Risorse!B48</f>
        <v>Patellaro Rosalia</v>
      </c>
      <c r="B48" s="15" t="str" cm="1">
        <f t="array" aca="1" ref="B48" ca="1">+IF(IFERROR(TEXT(INDEX(INDIRECT("Pianificazione!e1:e800"),MATCH($A48&amp;B$1,INDIRECT("Pianificazione!c1:c800")&amp;INDIRECT("Pianificazione!a1:a800"),0)),"hh:mm"),"")&amp;"-"&amp;IFERROR(TEXT(INDEX(INDIRECT("Pianificazione!f1:f800"),MATCH($A48&amp;B$1,INDIRECT("Pianificazione!c1:c800")&amp;INDIRECT("Pianificazione!a1:a800"),0)),"hh:mm"),"")="-","Riposo",IFERROR(TEXT(INDEX(INDIRECT("Pianificazione!e1:e800"),MATCH($A48&amp;B$1,INDIRECT("Pianificazione!c1:c800")&amp;INDIRECT("Pianificazione!a1:a800"),0)),"hh:mm"),"")&amp;"-"&amp;IFERROR(TEXT(INDEX(INDIRECT("Pianificazione!f1:f800"),MATCH($A48&amp;B$1,INDIRECT("Pianificazione!c1:c800")&amp;INDIRECT("Pianificazione!a1:a800"),0)),"hh:mm"),""))</f>
        <v>Riposo</v>
      </c>
      <c r="C48" s="15" t="str" cm="1">
        <f t="array" aca="1" ref="C48" ca="1">+IF(IFERROR(TEXT(INDEX(INDIRECT("Pianificazione!e1:e800"),MATCH($A48&amp;C$1,INDIRECT("Pianificazione!c1:c800")&amp;INDIRECT("Pianificazione!a1:a800"),0)),"hh:mm"),"")&amp;"-"&amp;IFERROR(TEXT(INDEX(INDIRECT("Pianificazione!f1:f800"),MATCH($A48&amp;C$1,INDIRECT("Pianificazione!c1:c800")&amp;INDIRECT("Pianificazione!a1:a800"),0)),"hh:mm"),"")="-","Riposo",IFERROR(TEXT(INDEX(INDIRECT("Pianificazione!e1:e800"),MATCH($A48&amp;C$1,INDIRECT("Pianificazione!c1:c800")&amp;INDIRECT("Pianificazione!a1:a800"),0)),"hh:mm"),"")&amp;"-"&amp;IFERROR(TEXT(INDEX(INDIRECT("Pianificazione!f1:f800"),MATCH($A48&amp;C$1,INDIRECT("Pianificazione!c1:c800")&amp;INDIRECT("Pianificazione!a1:a800"),0)),"hh:mm"),""))</f>
        <v>Riposo</v>
      </c>
      <c r="D48" s="15" t="str" cm="1">
        <f t="array" aca="1" ref="D48" ca="1">+IF(IFERROR(TEXT(INDEX(INDIRECT("Pianificazione!e1:e800"),MATCH($A48&amp;D$1,INDIRECT("Pianificazione!c1:c800")&amp;INDIRECT("Pianificazione!a1:a800"),0)),"hh:mm"),"")&amp;"-"&amp;IFERROR(TEXT(INDEX(INDIRECT("Pianificazione!f1:f800"),MATCH($A48&amp;D$1,INDIRECT("Pianificazione!c1:c800")&amp;INDIRECT("Pianificazione!a1:a800"),0)),"hh:mm"),"")="-","Riposo",IFERROR(TEXT(INDEX(INDIRECT("Pianificazione!e1:e800"),MATCH($A48&amp;D$1,INDIRECT("Pianificazione!c1:c800")&amp;INDIRECT("Pianificazione!a1:a800"),0)),"hh:mm"),"")&amp;"-"&amp;IFERROR(TEXT(INDEX(INDIRECT("Pianificazione!f1:f800"),MATCH($A48&amp;D$1,INDIRECT("Pianificazione!c1:c800")&amp;INDIRECT("Pianificazione!a1:a800"),0)),"hh:mm"),""))</f>
        <v>Riposo</v>
      </c>
      <c r="E48" s="15" t="str" cm="1">
        <f t="array" aca="1" ref="E48" ca="1">+IF(IFERROR(TEXT(INDEX(INDIRECT("Pianificazione!e1:e800"),MATCH($A48&amp;E$1,INDIRECT("Pianificazione!c1:c800")&amp;INDIRECT("Pianificazione!a1:a800"),0)),"hh:mm"),"")&amp;"-"&amp;IFERROR(TEXT(INDEX(INDIRECT("Pianificazione!f1:f800"),MATCH($A48&amp;E$1,INDIRECT("Pianificazione!c1:c800")&amp;INDIRECT("Pianificazione!a1:a800"),0)),"hh:mm"),"")="-","Riposo",IFERROR(TEXT(INDEX(INDIRECT("Pianificazione!e1:e800"),MATCH($A48&amp;E$1,INDIRECT("Pianificazione!c1:c800")&amp;INDIRECT("Pianificazione!a1:a800"),0)),"hh:mm"),"")&amp;"-"&amp;IFERROR(TEXT(INDEX(INDIRECT("Pianificazione!f1:f800"),MATCH($A48&amp;E$1,INDIRECT("Pianificazione!c1:c800")&amp;INDIRECT("Pianificazione!a1:a800"),0)),"hh:mm"),""))</f>
        <v>Riposo</v>
      </c>
      <c r="F48" s="15" t="str" cm="1">
        <f t="array" aca="1" ref="F48" ca="1">+IF(IFERROR(TEXT(INDEX(INDIRECT("Pianificazione!e1:e800"),MATCH($A48&amp;F$1,INDIRECT("Pianificazione!c1:c800")&amp;INDIRECT("Pianificazione!a1:a800"),0)),"hh:mm"),"")&amp;"-"&amp;IFERROR(TEXT(INDEX(INDIRECT("Pianificazione!f1:f800"),MATCH($A48&amp;F$1,INDIRECT("Pianificazione!c1:c800")&amp;INDIRECT("Pianificazione!a1:a800"),0)),"hh:mm"),"")="-","Riposo",IFERROR(TEXT(INDEX(INDIRECT("Pianificazione!e1:e800"),MATCH($A48&amp;F$1,INDIRECT("Pianificazione!c1:c800")&amp;INDIRECT("Pianificazione!a1:a800"),0)),"hh:mm"),"")&amp;"-"&amp;IFERROR(TEXT(INDEX(INDIRECT("Pianificazione!f1:f800"),MATCH($A48&amp;F$1,INDIRECT("Pianificazione!c1:c800")&amp;INDIRECT("Pianificazione!a1:a800"),0)),"hh:mm"),""))</f>
        <v>Riposo</v>
      </c>
      <c r="G48" s="15" t="str" cm="1">
        <f t="array" aca="1" ref="G48" ca="1">+IF(IFERROR(TEXT(INDEX(INDIRECT("Pianificazione!e1:e800"),MATCH($A48&amp;G$1,INDIRECT("Pianificazione!c1:c800")&amp;INDIRECT("Pianificazione!a1:a800"),0)),"hh:mm"),"")&amp;"-"&amp;IFERROR(TEXT(INDEX(INDIRECT("Pianificazione!f1:f800"),MATCH($A48&amp;G$1,INDIRECT("Pianificazione!c1:c800")&amp;INDIRECT("Pianificazione!a1:a800"),0)),"hh:mm"),"")="-","Riposo",IFERROR(TEXT(INDEX(INDIRECT("Pianificazione!e1:e800"),MATCH($A48&amp;G$1,INDIRECT("Pianificazione!c1:c800")&amp;INDIRECT("Pianificazione!a1:a800"),0)),"hh:mm"),"")&amp;"-"&amp;IFERROR(TEXT(INDEX(INDIRECT("Pianificazione!f1:f800"),MATCH($A48&amp;G$1,INDIRECT("Pianificazione!c1:c800")&amp;INDIRECT("Pianificazione!a1:a800"),0)),"hh:mm"),""))</f>
        <v>Riposo</v>
      </c>
      <c r="H48" s="15" t="str" cm="1">
        <f t="array" aca="1" ref="H48" ca="1">+IF(IFERROR(TEXT(INDEX(INDIRECT("Pianificazione!e1:e800"),MATCH($A48&amp;H$1,INDIRECT("Pianificazione!c1:c800")&amp;INDIRECT("Pianificazione!a1:a800"),0)),"hh:mm"),"")&amp;"-"&amp;IFERROR(TEXT(INDEX(INDIRECT("Pianificazione!f1:f800"),MATCH($A48&amp;H$1,INDIRECT("Pianificazione!c1:c800")&amp;INDIRECT("Pianificazione!a1:a800"),0)),"hh:mm"),"")="-","Riposo",IFERROR(TEXT(INDEX(INDIRECT("Pianificazione!e1:e800"),MATCH($A48&amp;H$1,INDIRECT("Pianificazione!c1:c800")&amp;INDIRECT("Pianificazione!a1:a800"),0)),"hh:mm"),"")&amp;"-"&amp;IFERROR(TEXT(INDEX(INDIRECT("Pianificazione!f1:f800"),MATCH($A48&amp;H$1,INDIRECT("Pianificazione!c1:c800")&amp;INDIRECT("Pianificazione!a1:a800"),0)),"hh:mm"),""))</f>
        <v>Riposo</v>
      </c>
    </row>
    <row r="49" spans="1:8">
      <c r="A49" t="str">
        <f>+Risorse!B49</f>
        <v>Pennino Rosaria</v>
      </c>
      <c r="B49" s="15" t="str" cm="1">
        <f t="array" aca="1" ref="B49" ca="1">+IF(IFERROR(TEXT(INDEX(INDIRECT("Pianificazione!e1:e800"),MATCH($A49&amp;B$1,INDIRECT("Pianificazione!c1:c800")&amp;INDIRECT("Pianificazione!a1:a800"),0)),"hh:mm"),"")&amp;"-"&amp;IFERROR(TEXT(INDEX(INDIRECT("Pianificazione!f1:f800"),MATCH($A49&amp;B$1,INDIRECT("Pianificazione!c1:c800")&amp;INDIRECT("Pianificazione!a1:a800"),0)),"hh:mm"),"")="-","Riposo",IFERROR(TEXT(INDEX(INDIRECT("Pianificazione!e1:e800"),MATCH($A49&amp;B$1,INDIRECT("Pianificazione!c1:c800")&amp;INDIRECT("Pianificazione!a1:a800"),0)),"hh:mm"),"")&amp;"-"&amp;IFERROR(TEXT(INDEX(INDIRECT("Pianificazione!f1:f800"),MATCH($A49&amp;B$1,INDIRECT("Pianificazione!c1:c800")&amp;INDIRECT("Pianificazione!a1:a800"),0)),"hh:mm"),""))</f>
        <v>Riposo</v>
      </c>
      <c r="C49" s="15" t="str" cm="1">
        <f t="array" aca="1" ref="C49" ca="1">+IF(IFERROR(TEXT(INDEX(INDIRECT("Pianificazione!e1:e800"),MATCH($A49&amp;C$1,INDIRECT("Pianificazione!c1:c800")&amp;INDIRECT("Pianificazione!a1:a800"),0)),"hh:mm"),"")&amp;"-"&amp;IFERROR(TEXT(INDEX(INDIRECT("Pianificazione!f1:f800"),MATCH($A49&amp;C$1,INDIRECT("Pianificazione!c1:c800")&amp;INDIRECT("Pianificazione!a1:a800"),0)),"hh:mm"),"")="-","Riposo",IFERROR(TEXT(INDEX(INDIRECT("Pianificazione!e1:e800"),MATCH($A49&amp;C$1,INDIRECT("Pianificazione!c1:c800")&amp;INDIRECT("Pianificazione!a1:a800"),0)),"hh:mm"),"")&amp;"-"&amp;IFERROR(TEXT(INDEX(INDIRECT("Pianificazione!f1:f800"),MATCH($A49&amp;C$1,INDIRECT("Pianificazione!c1:c800")&amp;INDIRECT("Pianificazione!a1:a800"),0)),"hh:mm"),""))</f>
        <v>Riposo</v>
      </c>
      <c r="D49" s="15" t="str" cm="1">
        <f t="array" aca="1" ref="D49" ca="1">+IF(IFERROR(TEXT(INDEX(INDIRECT("Pianificazione!e1:e800"),MATCH($A49&amp;D$1,INDIRECT("Pianificazione!c1:c800")&amp;INDIRECT("Pianificazione!a1:a800"),0)),"hh:mm"),"")&amp;"-"&amp;IFERROR(TEXT(INDEX(INDIRECT("Pianificazione!f1:f800"),MATCH($A49&amp;D$1,INDIRECT("Pianificazione!c1:c800")&amp;INDIRECT("Pianificazione!a1:a800"),0)),"hh:mm"),"")="-","Riposo",IFERROR(TEXT(INDEX(INDIRECT("Pianificazione!e1:e800"),MATCH($A49&amp;D$1,INDIRECT("Pianificazione!c1:c800")&amp;INDIRECT("Pianificazione!a1:a800"),0)),"hh:mm"),"")&amp;"-"&amp;IFERROR(TEXT(INDEX(INDIRECT("Pianificazione!f1:f800"),MATCH($A49&amp;D$1,INDIRECT("Pianificazione!c1:c800")&amp;INDIRECT("Pianificazione!a1:a800"),0)),"hh:mm"),""))</f>
        <v>Riposo</v>
      </c>
      <c r="E49" s="15" t="str" cm="1">
        <f t="array" aca="1" ref="E49" ca="1">+IF(IFERROR(TEXT(INDEX(INDIRECT("Pianificazione!e1:e800"),MATCH($A49&amp;E$1,INDIRECT("Pianificazione!c1:c800")&amp;INDIRECT("Pianificazione!a1:a800"),0)),"hh:mm"),"")&amp;"-"&amp;IFERROR(TEXT(INDEX(INDIRECT("Pianificazione!f1:f800"),MATCH($A49&amp;E$1,INDIRECT("Pianificazione!c1:c800")&amp;INDIRECT("Pianificazione!a1:a800"),0)),"hh:mm"),"")="-","Riposo",IFERROR(TEXT(INDEX(INDIRECT("Pianificazione!e1:e800"),MATCH($A49&amp;E$1,INDIRECT("Pianificazione!c1:c800")&amp;INDIRECT("Pianificazione!a1:a800"),0)),"hh:mm"),"")&amp;"-"&amp;IFERROR(TEXT(INDEX(INDIRECT("Pianificazione!f1:f800"),MATCH($A49&amp;E$1,INDIRECT("Pianificazione!c1:c800")&amp;INDIRECT("Pianificazione!a1:a800"),0)),"hh:mm"),""))</f>
        <v>Riposo</v>
      </c>
      <c r="F49" s="15" t="str" cm="1">
        <f t="array" aca="1" ref="F49" ca="1">+IF(IFERROR(TEXT(INDEX(INDIRECT("Pianificazione!e1:e800"),MATCH($A49&amp;F$1,INDIRECT("Pianificazione!c1:c800")&amp;INDIRECT("Pianificazione!a1:a800"),0)),"hh:mm"),"")&amp;"-"&amp;IFERROR(TEXT(INDEX(INDIRECT("Pianificazione!f1:f800"),MATCH($A49&amp;F$1,INDIRECT("Pianificazione!c1:c800")&amp;INDIRECT("Pianificazione!a1:a800"),0)),"hh:mm"),"")="-","Riposo",IFERROR(TEXT(INDEX(INDIRECT("Pianificazione!e1:e800"),MATCH($A49&amp;F$1,INDIRECT("Pianificazione!c1:c800")&amp;INDIRECT("Pianificazione!a1:a800"),0)),"hh:mm"),"")&amp;"-"&amp;IFERROR(TEXT(INDEX(INDIRECT("Pianificazione!f1:f800"),MATCH($A49&amp;F$1,INDIRECT("Pianificazione!c1:c800")&amp;INDIRECT("Pianificazione!a1:a800"),0)),"hh:mm"),""))</f>
        <v>Riposo</v>
      </c>
      <c r="G49" s="15" t="str" cm="1">
        <f t="array" aca="1" ref="G49" ca="1">+IF(IFERROR(TEXT(INDEX(INDIRECT("Pianificazione!e1:e800"),MATCH($A49&amp;G$1,INDIRECT("Pianificazione!c1:c800")&amp;INDIRECT("Pianificazione!a1:a800"),0)),"hh:mm"),"")&amp;"-"&amp;IFERROR(TEXT(INDEX(INDIRECT("Pianificazione!f1:f800"),MATCH($A49&amp;G$1,INDIRECT("Pianificazione!c1:c800")&amp;INDIRECT("Pianificazione!a1:a800"),0)),"hh:mm"),"")="-","Riposo",IFERROR(TEXT(INDEX(INDIRECT("Pianificazione!e1:e800"),MATCH($A49&amp;G$1,INDIRECT("Pianificazione!c1:c800")&amp;INDIRECT("Pianificazione!a1:a800"),0)),"hh:mm"),"")&amp;"-"&amp;IFERROR(TEXT(INDEX(INDIRECT("Pianificazione!f1:f800"),MATCH($A49&amp;G$1,INDIRECT("Pianificazione!c1:c800")&amp;INDIRECT("Pianificazione!a1:a800"),0)),"hh:mm"),""))</f>
        <v>Riposo</v>
      </c>
      <c r="H49" s="15" t="str" cm="1">
        <f t="array" aca="1" ref="H49" ca="1">+IF(IFERROR(TEXT(INDEX(INDIRECT("Pianificazione!e1:e800"),MATCH($A49&amp;H$1,INDIRECT("Pianificazione!c1:c800")&amp;INDIRECT("Pianificazione!a1:a800"),0)),"hh:mm"),"")&amp;"-"&amp;IFERROR(TEXT(INDEX(INDIRECT("Pianificazione!f1:f800"),MATCH($A49&amp;H$1,INDIRECT("Pianificazione!c1:c800")&amp;INDIRECT("Pianificazione!a1:a800"),0)),"hh:mm"),"")="-","Riposo",IFERROR(TEXT(INDEX(INDIRECT("Pianificazione!e1:e800"),MATCH($A49&amp;H$1,INDIRECT("Pianificazione!c1:c800")&amp;INDIRECT("Pianificazione!a1:a800"),0)),"hh:mm"),"")&amp;"-"&amp;IFERROR(TEXT(INDEX(INDIRECT("Pianificazione!f1:f800"),MATCH($A49&amp;H$1,INDIRECT("Pianificazione!c1:c800")&amp;INDIRECT("Pianificazione!a1:a800"),0)),"hh:mm"),""))</f>
        <v>Riposo</v>
      </c>
    </row>
    <row r="50" spans="1:8">
      <c r="A50" t="str">
        <f>+Risorse!B50</f>
        <v>Perriera Fabio</v>
      </c>
      <c r="B50" s="15" t="str" cm="1">
        <f t="array" aca="1" ref="B50" ca="1">+IF(IFERROR(TEXT(INDEX(INDIRECT("Pianificazione!e1:e800"),MATCH($A50&amp;B$1,INDIRECT("Pianificazione!c1:c800")&amp;INDIRECT("Pianificazione!a1:a800"),0)),"hh:mm"),"")&amp;"-"&amp;IFERROR(TEXT(INDEX(INDIRECT("Pianificazione!f1:f800"),MATCH($A50&amp;B$1,INDIRECT("Pianificazione!c1:c800")&amp;INDIRECT("Pianificazione!a1:a800"),0)),"hh:mm"),"")="-","Riposo",IFERROR(TEXT(INDEX(INDIRECT("Pianificazione!e1:e800"),MATCH($A50&amp;B$1,INDIRECT("Pianificazione!c1:c800")&amp;INDIRECT("Pianificazione!a1:a800"),0)),"hh:mm"),"")&amp;"-"&amp;IFERROR(TEXT(INDEX(INDIRECT("Pianificazione!f1:f800"),MATCH($A50&amp;B$1,INDIRECT("Pianificazione!c1:c800")&amp;INDIRECT("Pianificazione!a1:a800"),0)),"hh:mm"),""))</f>
        <v>Riposo</v>
      </c>
      <c r="C50" s="15" t="str" cm="1">
        <f t="array" aca="1" ref="C50" ca="1">+IF(IFERROR(TEXT(INDEX(INDIRECT("Pianificazione!e1:e800"),MATCH($A50&amp;C$1,INDIRECT("Pianificazione!c1:c800")&amp;INDIRECT("Pianificazione!a1:a800"),0)),"hh:mm"),"")&amp;"-"&amp;IFERROR(TEXT(INDEX(INDIRECT("Pianificazione!f1:f800"),MATCH($A50&amp;C$1,INDIRECT("Pianificazione!c1:c800")&amp;INDIRECT("Pianificazione!a1:a800"),0)),"hh:mm"),"")="-","Riposo",IFERROR(TEXT(INDEX(INDIRECT("Pianificazione!e1:e800"),MATCH($A50&amp;C$1,INDIRECT("Pianificazione!c1:c800")&amp;INDIRECT("Pianificazione!a1:a800"),0)),"hh:mm"),"")&amp;"-"&amp;IFERROR(TEXT(INDEX(INDIRECT("Pianificazione!f1:f800"),MATCH($A50&amp;C$1,INDIRECT("Pianificazione!c1:c800")&amp;INDIRECT("Pianificazione!a1:a800"),0)),"hh:mm"),""))</f>
        <v>Riposo</v>
      </c>
      <c r="D50" s="15" t="str" cm="1">
        <f t="array" aca="1" ref="D50" ca="1">+IF(IFERROR(TEXT(INDEX(INDIRECT("Pianificazione!e1:e800"),MATCH($A50&amp;D$1,INDIRECT("Pianificazione!c1:c800")&amp;INDIRECT("Pianificazione!a1:a800"),0)),"hh:mm"),"")&amp;"-"&amp;IFERROR(TEXT(INDEX(INDIRECT("Pianificazione!f1:f800"),MATCH($A50&amp;D$1,INDIRECT("Pianificazione!c1:c800")&amp;INDIRECT("Pianificazione!a1:a800"),0)),"hh:mm"),"")="-","Riposo",IFERROR(TEXT(INDEX(INDIRECT("Pianificazione!e1:e800"),MATCH($A50&amp;D$1,INDIRECT("Pianificazione!c1:c800")&amp;INDIRECT("Pianificazione!a1:a800"),0)),"hh:mm"),"")&amp;"-"&amp;IFERROR(TEXT(INDEX(INDIRECT("Pianificazione!f1:f800"),MATCH($A50&amp;D$1,INDIRECT("Pianificazione!c1:c800")&amp;INDIRECT("Pianificazione!a1:a800"),0)),"hh:mm"),""))</f>
        <v>Riposo</v>
      </c>
      <c r="E50" s="15" t="str" cm="1">
        <f t="array" aca="1" ref="E50" ca="1">+IF(IFERROR(TEXT(INDEX(INDIRECT("Pianificazione!e1:e800"),MATCH($A50&amp;E$1,INDIRECT("Pianificazione!c1:c800")&amp;INDIRECT("Pianificazione!a1:a800"),0)),"hh:mm"),"")&amp;"-"&amp;IFERROR(TEXT(INDEX(INDIRECT("Pianificazione!f1:f800"),MATCH($A50&amp;E$1,INDIRECT("Pianificazione!c1:c800")&amp;INDIRECT("Pianificazione!a1:a800"),0)),"hh:mm"),"")="-","Riposo",IFERROR(TEXT(INDEX(INDIRECT("Pianificazione!e1:e800"),MATCH($A50&amp;E$1,INDIRECT("Pianificazione!c1:c800")&amp;INDIRECT("Pianificazione!a1:a800"),0)),"hh:mm"),"")&amp;"-"&amp;IFERROR(TEXT(INDEX(INDIRECT("Pianificazione!f1:f800"),MATCH($A50&amp;E$1,INDIRECT("Pianificazione!c1:c800")&amp;INDIRECT("Pianificazione!a1:a800"),0)),"hh:mm"),""))</f>
        <v>Riposo</v>
      </c>
      <c r="F50" s="15" t="str" cm="1">
        <f t="array" aca="1" ref="F50" ca="1">+IF(IFERROR(TEXT(INDEX(INDIRECT("Pianificazione!e1:e800"),MATCH($A50&amp;F$1,INDIRECT("Pianificazione!c1:c800")&amp;INDIRECT("Pianificazione!a1:a800"),0)),"hh:mm"),"")&amp;"-"&amp;IFERROR(TEXT(INDEX(INDIRECT("Pianificazione!f1:f800"),MATCH($A50&amp;F$1,INDIRECT("Pianificazione!c1:c800")&amp;INDIRECT("Pianificazione!a1:a800"),0)),"hh:mm"),"")="-","Riposo",IFERROR(TEXT(INDEX(INDIRECT("Pianificazione!e1:e800"),MATCH($A50&amp;F$1,INDIRECT("Pianificazione!c1:c800")&amp;INDIRECT("Pianificazione!a1:a800"),0)),"hh:mm"),"")&amp;"-"&amp;IFERROR(TEXT(INDEX(INDIRECT("Pianificazione!f1:f800"),MATCH($A50&amp;F$1,INDIRECT("Pianificazione!c1:c800")&amp;INDIRECT("Pianificazione!a1:a800"),0)),"hh:mm"),""))</f>
        <v>Riposo</v>
      </c>
      <c r="G50" s="15" t="str" cm="1">
        <f t="array" aca="1" ref="G50" ca="1">+IF(IFERROR(TEXT(INDEX(INDIRECT("Pianificazione!e1:e800"),MATCH($A50&amp;G$1,INDIRECT("Pianificazione!c1:c800")&amp;INDIRECT("Pianificazione!a1:a800"),0)),"hh:mm"),"")&amp;"-"&amp;IFERROR(TEXT(INDEX(INDIRECT("Pianificazione!f1:f800"),MATCH($A50&amp;G$1,INDIRECT("Pianificazione!c1:c800")&amp;INDIRECT("Pianificazione!a1:a800"),0)),"hh:mm"),"")="-","Riposo",IFERROR(TEXT(INDEX(INDIRECT("Pianificazione!e1:e800"),MATCH($A50&amp;G$1,INDIRECT("Pianificazione!c1:c800")&amp;INDIRECT("Pianificazione!a1:a800"),0)),"hh:mm"),"")&amp;"-"&amp;IFERROR(TEXT(INDEX(INDIRECT("Pianificazione!f1:f800"),MATCH($A50&amp;G$1,INDIRECT("Pianificazione!c1:c800")&amp;INDIRECT("Pianificazione!a1:a800"),0)),"hh:mm"),""))</f>
        <v>Riposo</v>
      </c>
      <c r="H50" s="15" t="str" cm="1">
        <f t="array" aca="1" ref="H50" ca="1">+IF(IFERROR(TEXT(INDEX(INDIRECT("Pianificazione!e1:e800"),MATCH($A50&amp;H$1,INDIRECT("Pianificazione!c1:c800")&amp;INDIRECT("Pianificazione!a1:a800"),0)),"hh:mm"),"")&amp;"-"&amp;IFERROR(TEXT(INDEX(INDIRECT("Pianificazione!f1:f800"),MATCH($A50&amp;H$1,INDIRECT("Pianificazione!c1:c800")&amp;INDIRECT("Pianificazione!a1:a800"),0)),"hh:mm"),"")="-","Riposo",IFERROR(TEXT(INDEX(INDIRECT("Pianificazione!e1:e800"),MATCH($A50&amp;H$1,INDIRECT("Pianificazione!c1:c800")&amp;INDIRECT("Pianificazione!a1:a800"),0)),"hh:mm"),"")&amp;"-"&amp;IFERROR(TEXT(INDEX(INDIRECT("Pianificazione!f1:f800"),MATCH($A50&amp;H$1,INDIRECT("Pianificazione!c1:c800")&amp;INDIRECT("Pianificazione!a1:a800"),0)),"hh:mm"),""))</f>
        <v>Riposo</v>
      </c>
    </row>
    <row r="51" spans="1:8">
      <c r="A51" t="str">
        <f>+Risorse!B51</f>
        <v>Ravena Alessia</v>
      </c>
      <c r="B51" s="15" t="str" cm="1">
        <f t="array" aca="1" ref="B51" ca="1">+IF(IFERROR(TEXT(INDEX(INDIRECT("Pianificazione!e1:e800"),MATCH($A51&amp;B$1,INDIRECT("Pianificazione!c1:c800")&amp;INDIRECT("Pianificazione!a1:a800"),0)),"hh:mm"),"")&amp;"-"&amp;IFERROR(TEXT(INDEX(INDIRECT("Pianificazione!f1:f800"),MATCH($A51&amp;B$1,INDIRECT("Pianificazione!c1:c800")&amp;INDIRECT("Pianificazione!a1:a800"),0)),"hh:mm"),"")="-","Riposo",IFERROR(TEXT(INDEX(INDIRECT("Pianificazione!e1:e800"),MATCH($A51&amp;B$1,INDIRECT("Pianificazione!c1:c800")&amp;INDIRECT("Pianificazione!a1:a800"),0)),"hh:mm"),"")&amp;"-"&amp;IFERROR(TEXT(INDEX(INDIRECT("Pianificazione!f1:f800"),MATCH($A51&amp;B$1,INDIRECT("Pianificazione!c1:c800")&amp;INDIRECT("Pianificazione!a1:a800"),0)),"hh:mm"),""))</f>
        <v>Riposo</v>
      </c>
      <c r="C51" s="15" t="str" cm="1">
        <f t="array" aca="1" ref="C51" ca="1">+IF(IFERROR(TEXT(INDEX(INDIRECT("Pianificazione!e1:e800"),MATCH($A51&amp;C$1,INDIRECT("Pianificazione!c1:c800")&amp;INDIRECT("Pianificazione!a1:a800"),0)),"hh:mm"),"")&amp;"-"&amp;IFERROR(TEXT(INDEX(INDIRECT("Pianificazione!f1:f800"),MATCH($A51&amp;C$1,INDIRECT("Pianificazione!c1:c800")&amp;INDIRECT("Pianificazione!a1:a800"),0)),"hh:mm"),"")="-","Riposo",IFERROR(TEXT(INDEX(INDIRECT("Pianificazione!e1:e800"),MATCH($A51&amp;C$1,INDIRECT("Pianificazione!c1:c800")&amp;INDIRECT("Pianificazione!a1:a800"),0)),"hh:mm"),"")&amp;"-"&amp;IFERROR(TEXT(INDEX(INDIRECT("Pianificazione!f1:f800"),MATCH($A51&amp;C$1,INDIRECT("Pianificazione!c1:c800")&amp;INDIRECT("Pianificazione!a1:a800"),0)),"hh:mm"),""))</f>
        <v>Riposo</v>
      </c>
      <c r="D51" s="15" t="str" cm="1">
        <f t="array" aca="1" ref="D51" ca="1">+IF(IFERROR(TEXT(INDEX(INDIRECT("Pianificazione!e1:e800"),MATCH($A51&amp;D$1,INDIRECT("Pianificazione!c1:c800")&amp;INDIRECT("Pianificazione!a1:a800"),0)),"hh:mm"),"")&amp;"-"&amp;IFERROR(TEXT(INDEX(INDIRECT("Pianificazione!f1:f800"),MATCH($A51&amp;D$1,INDIRECT("Pianificazione!c1:c800")&amp;INDIRECT("Pianificazione!a1:a800"),0)),"hh:mm"),"")="-","Riposo",IFERROR(TEXT(INDEX(INDIRECT("Pianificazione!e1:e800"),MATCH($A51&amp;D$1,INDIRECT("Pianificazione!c1:c800")&amp;INDIRECT("Pianificazione!a1:a800"),0)),"hh:mm"),"")&amp;"-"&amp;IFERROR(TEXT(INDEX(INDIRECT("Pianificazione!f1:f800"),MATCH($A51&amp;D$1,INDIRECT("Pianificazione!c1:c800")&amp;INDIRECT("Pianificazione!a1:a800"),0)),"hh:mm"),""))</f>
        <v>Riposo</v>
      </c>
      <c r="E51" s="15" t="str" cm="1">
        <f t="array" aca="1" ref="E51" ca="1">+IF(IFERROR(TEXT(INDEX(INDIRECT("Pianificazione!e1:e800"),MATCH($A51&amp;E$1,INDIRECT("Pianificazione!c1:c800")&amp;INDIRECT("Pianificazione!a1:a800"),0)),"hh:mm"),"")&amp;"-"&amp;IFERROR(TEXT(INDEX(INDIRECT("Pianificazione!f1:f800"),MATCH($A51&amp;E$1,INDIRECT("Pianificazione!c1:c800")&amp;INDIRECT("Pianificazione!a1:a800"),0)),"hh:mm"),"")="-","Riposo",IFERROR(TEXT(INDEX(INDIRECT("Pianificazione!e1:e800"),MATCH($A51&amp;E$1,INDIRECT("Pianificazione!c1:c800")&amp;INDIRECT("Pianificazione!a1:a800"),0)),"hh:mm"),"")&amp;"-"&amp;IFERROR(TEXT(INDEX(INDIRECT("Pianificazione!f1:f800"),MATCH($A51&amp;E$1,INDIRECT("Pianificazione!c1:c800")&amp;INDIRECT("Pianificazione!a1:a800"),0)),"hh:mm"),""))</f>
        <v>Riposo</v>
      </c>
      <c r="F51" s="15" t="str" cm="1">
        <f t="array" aca="1" ref="F51" ca="1">+IF(IFERROR(TEXT(INDEX(INDIRECT("Pianificazione!e1:e800"),MATCH($A51&amp;F$1,INDIRECT("Pianificazione!c1:c800")&amp;INDIRECT("Pianificazione!a1:a800"),0)),"hh:mm"),"")&amp;"-"&amp;IFERROR(TEXT(INDEX(INDIRECT("Pianificazione!f1:f800"),MATCH($A51&amp;F$1,INDIRECT("Pianificazione!c1:c800")&amp;INDIRECT("Pianificazione!a1:a800"),0)),"hh:mm"),"")="-","Riposo",IFERROR(TEXT(INDEX(INDIRECT("Pianificazione!e1:e800"),MATCH($A51&amp;F$1,INDIRECT("Pianificazione!c1:c800")&amp;INDIRECT("Pianificazione!a1:a800"),0)),"hh:mm"),"")&amp;"-"&amp;IFERROR(TEXT(INDEX(INDIRECT("Pianificazione!f1:f800"),MATCH($A51&amp;F$1,INDIRECT("Pianificazione!c1:c800")&amp;INDIRECT("Pianificazione!a1:a800"),0)),"hh:mm"),""))</f>
        <v>Riposo</v>
      </c>
      <c r="G51" s="15" t="str" cm="1">
        <f t="array" aca="1" ref="G51" ca="1">+IF(IFERROR(TEXT(INDEX(INDIRECT("Pianificazione!e1:e800"),MATCH($A51&amp;G$1,INDIRECT("Pianificazione!c1:c800")&amp;INDIRECT("Pianificazione!a1:a800"),0)),"hh:mm"),"")&amp;"-"&amp;IFERROR(TEXT(INDEX(INDIRECT("Pianificazione!f1:f800"),MATCH($A51&amp;G$1,INDIRECT("Pianificazione!c1:c800")&amp;INDIRECT("Pianificazione!a1:a800"),0)),"hh:mm"),"")="-","Riposo",IFERROR(TEXT(INDEX(INDIRECT("Pianificazione!e1:e800"),MATCH($A51&amp;G$1,INDIRECT("Pianificazione!c1:c800")&amp;INDIRECT("Pianificazione!a1:a800"),0)),"hh:mm"),"")&amp;"-"&amp;IFERROR(TEXT(INDEX(INDIRECT("Pianificazione!f1:f800"),MATCH($A51&amp;G$1,INDIRECT("Pianificazione!c1:c800")&amp;INDIRECT("Pianificazione!a1:a800"),0)),"hh:mm"),""))</f>
        <v>Riposo</v>
      </c>
      <c r="H51" s="15" t="str" cm="1">
        <f t="array" aca="1" ref="H51" ca="1">+IF(IFERROR(TEXT(INDEX(INDIRECT("Pianificazione!e1:e800"),MATCH($A51&amp;H$1,INDIRECT("Pianificazione!c1:c800")&amp;INDIRECT("Pianificazione!a1:a800"),0)),"hh:mm"),"")&amp;"-"&amp;IFERROR(TEXT(INDEX(INDIRECT("Pianificazione!f1:f800"),MATCH($A51&amp;H$1,INDIRECT("Pianificazione!c1:c800")&amp;INDIRECT("Pianificazione!a1:a800"),0)),"hh:mm"),"")="-","Riposo",IFERROR(TEXT(INDEX(INDIRECT("Pianificazione!e1:e800"),MATCH($A51&amp;H$1,INDIRECT("Pianificazione!c1:c800")&amp;INDIRECT("Pianificazione!a1:a800"),0)),"hh:mm"),"")&amp;"-"&amp;IFERROR(TEXT(INDEX(INDIRECT("Pianificazione!f1:f800"),MATCH($A51&amp;H$1,INDIRECT("Pianificazione!c1:c800")&amp;INDIRECT("Pianificazione!a1:a800"),0)),"hh:mm"),""))</f>
        <v>Riposo</v>
      </c>
    </row>
    <row r="52" spans="1:8">
      <c r="A52" t="str">
        <f>+Risorse!B52</f>
        <v>Rizzo Cristina</v>
      </c>
      <c r="B52" s="15" t="str" cm="1">
        <f t="array" aca="1" ref="B52" ca="1">+IF(IFERROR(TEXT(INDEX(INDIRECT("Pianificazione!e1:e800"),MATCH($A52&amp;B$1,INDIRECT("Pianificazione!c1:c800")&amp;INDIRECT("Pianificazione!a1:a800"),0)),"hh:mm"),"")&amp;"-"&amp;IFERROR(TEXT(INDEX(INDIRECT("Pianificazione!f1:f800"),MATCH($A52&amp;B$1,INDIRECT("Pianificazione!c1:c800")&amp;INDIRECT("Pianificazione!a1:a800"),0)),"hh:mm"),"")="-","Riposo",IFERROR(TEXT(INDEX(INDIRECT("Pianificazione!e1:e800"),MATCH($A52&amp;B$1,INDIRECT("Pianificazione!c1:c800")&amp;INDIRECT("Pianificazione!a1:a800"),0)),"hh:mm"),"")&amp;"-"&amp;IFERROR(TEXT(INDEX(INDIRECT("Pianificazione!f1:f800"),MATCH($A52&amp;B$1,INDIRECT("Pianificazione!c1:c800")&amp;INDIRECT("Pianificazione!a1:a800"),0)),"hh:mm"),""))</f>
        <v>Riposo</v>
      </c>
      <c r="C52" s="15" t="str" cm="1">
        <f t="array" aca="1" ref="C52" ca="1">+IF(IFERROR(TEXT(INDEX(INDIRECT("Pianificazione!e1:e800"),MATCH($A52&amp;C$1,INDIRECT("Pianificazione!c1:c800")&amp;INDIRECT("Pianificazione!a1:a800"),0)),"hh:mm"),"")&amp;"-"&amp;IFERROR(TEXT(INDEX(INDIRECT("Pianificazione!f1:f800"),MATCH($A52&amp;C$1,INDIRECT("Pianificazione!c1:c800")&amp;INDIRECT("Pianificazione!a1:a800"),0)),"hh:mm"),"")="-","Riposo",IFERROR(TEXT(INDEX(INDIRECT("Pianificazione!e1:e800"),MATCH($A52&amp;C$1,INDIRECT("Pianificazione!c1:c800")&amp;INDIRECT("Pianificazione!a1:a800"),0)),"hh:mm"),"")&amp;"-"&amp;IFERROR(TEXT(INDEX(INDIRECT("Pianificazione!f1:f800"),MATCH($A52&amp;C$1,INDIRECT("Pianificazione!c1:c800")&amp;INDIRECT("Pianificazione!a1:a800"),0)),"hh:mm"),""))</f>
        <v>Riposo</v>
      </c>
      <c r="D52" s="15" t="str" cm="1">
        <f t="array" aca="1" ref="D52" ca="1">+IF(IFERROR(TEXT(INDEX(INDIRECT("Pianificazione!e1:e800"),MATCH($A52&amp;D$1,INDIRECT("Pianificazione!c1:c800")&amp;INDIRECT("Pianificazione!a1:a800"),0)),"hh:mm"),"")&amp;"-"&amp;IFERROR(TEXT(INDEX(INDIRECT("Pianificazione!f1:f800"),MATCH($A52&amp;D$1,INDIRECT("Pianificazione!c1:c800")&amp;INDIRECT("Pianificazione!a1:a800"),0)),"hh:mm"),"")="-","Riposo",IFERROR(TEXT(INDEX(INDIRECT("Pianificazione!e1:e800"),MATCH($A52&amp;D$1,INDIRECT("Pianificazione!c1:c800")&amp;INDIRECT("Pianificazione!a1:a800"),0)),"hh:mm"),"")&amp;"-"&amp;IFERROR(TEXT(INDEX(INDIRECT("Pianificazione!f1:f800"),MATCH($A52&amp;D$1,INDIRECT("Pianificazione!c1:c800")&amp;INDIRECT("Pianificazione!a1:a800"),0)),"hh:mm"),""))</f>
        <v>Riposo</v>
      </c>
      <c r="E52" s="15" t="str" cm="1">
        <f t="array" aca="1" ref="E52" ca="1">+IF(IFERROR(TEXT(INDEX(INDIRECT("Pianificazione!e1:e800"),MATCH($A52&amp;E$1,INDIRECT("Pianificazione!c1:c800")&amp;INDIRECT("Pianificazione!a1:a800"),0)),"hh:mm"),"")&amp;"-"&amp;IFERROR(TEXT(INDEX(INDIRECT("Pianificazione!f1:f800"),MATCH($A52&amp;E$1,INDIRECT("Pianificazione!c1:c800")&amp;INDIRECT("Pianificazione!a1:a800"),0)),"hh:mm"),"")="-","Riposo",IFERROR(TEXT(INDEX(INDIRECT("Pianificazione!e1:e800"),MATCH($A52&amp;E$1,INDIRECT("Pianificazione!c1:c800")&amp;INDIRECT("Pianificazione!a1:a800"),0)),"hh:mm"),"")&amp;"-"&amp;IFERROR(TEXT(INDEX(INDIRECT("Pianificazione!f1:f800"),MATCH($A52&amp;E$1,INDIRECT("Pianificazione!c1:c800")&amp;INDIRECT("Pianificazione!a1:a800"),0)),"hh:mm"),""))</f>
        <v>Riposo</v>
      </c>
      <c r="F52" s="15" t="str" cm="1">
        <f t="array" aca="1" ref="F52" ca="1">+IF(IFERROR(TEXT(INDEX(INDIRECT("Pianificazione!e1:e800"),MATCH($A52&amp;F$1,INDIRECT("Pianificazione!c1:c800")&amp;INDIRECT("Pianificazione!a1:a800"),0)),"hh:mm"),"")&amp;"-"&amp;IFERROR(TEXT(INDEX(INDIRECT("Pianificazione!f1:f800"),MATCH($A52&amp;F$1,INDIRECT("Pianificazione!c1:c800")&amp;INDIRECT("Pianificazione!a1:a800"),0)),"hh:mm"),"")="-","Riposo",IFERROR(TEXT(INDEX(INDIRECT("Pianificazione!e1:e800"),MATCH($A52&amp;F$1,INDIRECT("Pianificazione!c1:c800")&amp;INDIRECT("Pianificazione!a1:a800"),0)),"hh:mm"),"")&amp;"-"&amp;IFERROR(TEXT(INDEX(INDIRECT("Pianificazione!f1:f800"),MATCH($A52&amp;F$1,INDIRECT("Pianificazione!c1:c800")&amp;INDIRECT("Pianificazione!a1:a800"),0)),"hh:mm"),""))</f>
        <v>Riposo</v>
      </c>
      <c r="G52" s="15" t="str" cm="1">
        <f t="array" aca="1" ref="G52" ca="1">+IF(IFERROR(TEXT(INDEX(INDIRECT("Pianificazione!e1:e800"),MATCH($A52&amp;G$1,INDIRECT("Pianificazione!c1:c800")&amp;INDIRECT("Pianificazione!a1:a800"),0)),"hh:mm"),"")&amp;"-"&amp;IFERROR(TEXT(INDEX(INDIRECT("Pianificazione!f1:f800"),MATCH($A52&amp;G$1,INDIRECT("Pianificazione!c1:c800")&amp;INDIRECT("Pianificazione!a1:a800"),0)),"hh:mm"),"")="-","Riposo",IFERROR(TEXT(INDEX(INDIRECT("Pianificazione!e1:e800"),MATCH($A52&amp;G$1,INDIRECT("Pianificazione!c1:c800")&amp;INDIRECT("Pianificazione!a1:a800"),0)),"hh:mm"),"")&amp;"-"&amp;IFERROR(TEXT(INDEX(INDIRECT("Pianificazione!f1:f800"),MATCH($A52&amp;G$1,INDIRECT("Pianificazione!c1:c800")&amp;INDIRECT("Pianificazione!a1:a800"),0)),"hh:mm"),""))</f>
        <v>Riposo</v>
      </c>
      <c r="H52" s="15" t="str" cm="1">
        <f t="array" aca="1" ref="H52" ca="1">+IF(IFERROR(TEXT(INDEX(INDIRECT("Pianificazione!e1:e800"),MATCH($A52&amp;H$1,INDIRECT("Pianificazione!c1:c800")&amp;INDIRECT("Pianificazione!a1:a800"),0)),"hh:mm"),"")&amp;"-"&amp;IFERROR(TEXT(INDEX(INDIRECT("Pianificazione!f1:f800"),MATCH($A52&amp;H$1,INDIRECT("Pianificazione!c1:c800")&amp;INDIRECT("Pianificazione!a1:a800"),0)),"hh:mm"),"")="-","Riposo",IFERROR(TEXT(INDEX(INDIRECT("Pianificazione!e1:e800"),MATCH($A52&amp;H$1,INDIRECT("Pianificazione!c1:c800")&amp;INDIRECT("Pianificazione!a1:a800"),0)),"hh:mm"),"")&amp;"-"&amp;IFERROR(TEXT(INDEX(INDIRECT("Pianificazione!f1:f800"),MATCH($A52&amp;H$1,INDIRECT("Pianificazione!c1:c800")&amp;INDIRECT("Pianificazione!a1:a800"),0)),"hh:mm"),""))</f>
        <v>Riposo</v>
      </c>
    </row>
    <row r="53" spans="1:8">
      <c r="A53" t="str">
        <f>+Risorse!B53</f>
        <v>Romano Patrizia</v>
      </c>
      <c r="B53" s="15" t="str" cm="1">
        <f t="array" aca="1" ref="B53" ca="1">+IF(IFERROR(TEXT(INDEX(INDIRECT("Pianificazione!e1:e800"),MATCH($A53&amp;B$1,INDIRECT("Pianificazione!c1:c800")&amp;INDIRECT("Pianificazione!a1:a800"),0)),"hh:mm"),"")&amp;"-"&amp;IFERROR(TEXT(INDEX(INDIRECT("Pianificazione!f1:f800"),MATCH($A53&amp;B$1,INDIRECT("Pianificazione!c1:c800")&amp;INDIRECT("Pianificazione!a1:a800"),0)),"hh:mm"),"")="-","Riposo",IFERROR(TEXT(INDEX(INDIRECT("Pianificazione!e1:e800"),MATCH($A53&amp;B$1,INDIRECT("Pianificazione!c1:c800")&amp;INDIRECT("Pianificazione!a1:a800"),0)),"hh:mm"),"")&amp;"-"&amp;IFERROR(TEXT(INDEX(INDIRECT("Pianificazione!f1:f800"),MATCH($A53&amp;B$1,INDIRECT("Pianificazione!c1:c800")&amp;INDIRECT("Pianificazione!a1:a800"),0)),"hh:mm"),""))</f>
        <v>Riposo</v>
      </c>
      <c r="C53" s="15" t="str" cm="1">
        <f t="array" aca="1" ref="C53" ca="1">+IF(IFERROR(TEXT(INDEX(INDIRECT("Pianificazione!e1:e800"),MATCH($A53&amp;C$1,INDIRECT("Pianificazione!c1:c800")&amp;INDIRECT("Pianificazione!a1:a800"),0)),"hh:mm"),"")&amp;"-"&amp;IFERROR(TEXT(INDEX(INDIRECT("Pianificazione!f1:f800"),MATCH($A53&amp;C$1,INDIRECT("Pianificazione!c1:c800")&amp;INDIRECT("Pianificazione!a1:a800"),0)),"hh:mm"),"")="-","Riposo",IFERROR(TEXT(INDEX(INDIRECT("Pianificazione!e1:e800"),MATCH($A53&amp;C$1,INDIRECT("Pianificazione!c1:c800")&amp;INDIRECT("Pianificazione!a1:a800"),0)),"hh:mm"),"")&amp;"-"&amp;IFERROR(TEXT(INDEX(INDIRECT("Pianificazione!f1:f800"),MATCH($A53&amp;C$1,INDIRECT("Pianificazione!c1:c800")&amp;INDIRECT("Pianificazione!a1:a800"),0)),"hh:mm"),""))</f>
        <v>Riposo</v>
      </c>
      <c r="D53" s="15" t="str" cm="1">
        <f t="array" aca="1" ref="D53" ca="1">+IF(IFERROR(TEXT(INDEX(INDIRECT("Pianificazione!e1:e800"),MATCH($A53&amp;D$1,INDIRECT("Pianificazione!c1:c800")&amp;INDIRECT("Pianificazione!a1:a800"),0)),"hh:mm"),"")&amp;"-"&amp;IFERROR(TEXT(INDEX(INDIRECT("Pianificazione!f1:f800"),MATCH($A53&amp;D$1,INDIRECT("Pianificazione!c1:c800")&amp;INDIRECT("Pianificazione!a1:a800"),0)),"hh:mm"),"")="-","Riposo",IFERROR(TEXT(INDEX(INDIRECT("Pianificazione!e1:e800"),MATCH($A53&amp;D$1,INDIRECT("Pianificazione!c1:c800")&amp;INDIRECT("Pianificazione!a1:a800"),0)),"hh:mm"),"")&amp;"-"&amp;IFERROR(TEXT(INDEX(INDIRECT("Pianificazione!f1:f800"),MATCH($A53&amp;D$1,INDIRECT("Pianificazione!c1:c800")&amp;INDIRECT("Pianificazione!a1:a800"),0)),"hh:mm"),""))</f>
        <v>Riposo</v>
      </c>
      <c r="E53" s="15" t="str" cm="1">
        <f t="array" aca="1" ref="E53" ca="1">+IF(IFERROR(TEXT(INDEX(INDIRECT("Pianificazione!e1:e800"),MATCH($A53&amp;E$1,INDIRECT("Pianificazione!c1:c800")&amp;INDIRECT("Pianificazione!a1:a800"),0)),"hh:mm"),"")&amp;"-"&amp;IFERROR(TEXT(INDEX(INDIRECT("Pianificazione!f1:f800"),MATCH($A53&amp;E$1,INDIRECT("Pianificazione!c1:c800")&amp;INDIRECT("Pianificazione!a1:a800"),0)),"hh:mm"),"")="-","Riposo",IFERROR(TEXT(INDEX(INDIRECT("Pianificazione!e1:e800"),MATCH($A53&amp;E$1,INDIRECT("Pianificazione!c1:c800")&amp;INDIRECT("Pianificazione!a1:a800"),0)),"hh:mm"),"")&amp;"-"&amp;IFERROR(TEXT(INDEX(INDIRECT("Pianificazione!f1:f800"),MATCH($A53&amp;E$1,INDIRECT("Pianificazione!c1:c800")&amp;INDIRECT("Pianificazione!a1:a800"),0)),"hh:mm"),""))</f>
        <v>Riposo</v>
      </c>
      <c r="F53" s="15" t="str" cm="1">
        <f t="array" aca="1" ref="F53" ca="1">+IF(IFERROR(TEXT(INDEX(INDIRECT("Pianificazione!e1:e800"),MATCH($A53&amp;F$1,INDIRECT("Pianificazione!c1:c800")&amp;INDIRECT("Pianificazione!a1:a800"),0)),"hh:mm"),"")&amp;"-"&amp;IFERROR(TEXT(INDEX(INDIRECT("Pianificazione!f1:f800"),MATCH($A53&amp;F$1,INDIRECT("Pianificazione!c1:c800")&amp;INDIRECT("Pianificazione!a1:a800"),0)),"hh:mm"),"")="-","Riposo",IFERROR(TEXT(INDEX(INDIRECT("Pianificazione!e1:e800"),MATCH($A53&amp;F$1,INDIRECT("Pianificazione!c1:c800")&amp;INDIRECT("Pianificazione!a1:a800"),0)),"hh:mm"),"")&amp;"-"&amp;IFERROR(TEXT(INDEX(INDIRECT("Pianificazione!f1:f800"),MATCH($A53&amp;F$1,INDIRECT("Pianificazione!c1:c800")&amp;INDIRECT("Pianificazione!a1:a800"),0)),"hh:mm"),""))</f>
        <v>Riposo</v>
      </c>
      <c r="G53" s="15" t="str" cm="1">
        <f t="array" aca="1" ref="G53" ca="1">+IF(IFERROR(TEXT(INDEX(INDIRECT("Pianificazione!e1:e800"),MATCH($A53&amp;G$1,INDIRECT("Pianificazione!c1:c800")&amp;INDIRECT("Pianificazione!a1:a800"),0)),"hh:mm"),"")&amp;"-"&amp;IFERROR(TEXT(INDEX(INDIRECT("Pianificazione!f1:f800"),MATCH($A53&amp;G$1,INDIRECT("Pianificazione!c1:c800")&amp;INDIRECT("Pianificazione!a1:a800"),0)),"hh:mm"),"")="-","Riposo",IFERROR(TEXT(INDEX(INDIRECT("Pianificazione!e1:e800"),MATCH($A53&amp;G$1,INDIRECT("Pianificazione!c1:c800")&amp;INDIRECT("Pianificazione!a1:a800"),0)),"hh:mm"),"")&amp;"-"&amp;IFERROR(TEXT(INDEX(INDIRECT("Pianificazione!f1:f800"),MATCH($A53&amp;G$1,INDIRECT("Pianificazione!c1:c800")&amp;INDIRECT("Pianificazione!a1:a800"),0)),"hh:mm"),""))</f>
        <v>Riposo</v>
      </c>
      <c r="H53" s="15" t="str" cm="1">
        <f t="array" aca="1" ref="H53" ca="1">+IF(IFERROR(TEXT(INDEX(INDIRECT("Pianificazione!e1:e800"),MATCH($A53&amp;H$1,INDIRECT("Pianificazione!c1:c800")&amp;INDIRECT("Pianificazione!a1:a800"),0)),"hh:mm"),"")&amp;"-"&amp;IFERROR(TEXT(INDEX(INDIRECT("Pianificazione!f1:f800"),MATCH($A53&amp;H$1,INDIRECT("Pianificazione!c1:c800")&amp;INDIRECT("Pianificazione!a1:a800"),0)),"hh:mm"),"")="-","Riposo",IFERROR(TEXT(INDEX(INDIRECT("Pianificazione!e1:e800"),MATCH($A53&amp;H$1,INDIRECT("Pianificazione!c1:c800")&amp;INDIRECT("Pianificazione!a1:a800"),0)),"hh:mm"),"")&amp;"-"&amp;IFERROR(TEXT(INDEX(INDIRECT("Pianificazione!f1:f800"),MATCH($A53&amp;H$1,INDIRECT("Pianificazione!c1:c800")&amp;INDIRECT("Pianificazione!a1:a800"),0)),"hh:mm"),""))</f>
        <v>Riposo</v>
      </c>
    </row>
    <row r="54" spans="1:8">
      <c r="A54" t="str">
        <f>+Risorse!B54</f>
        <v>Sampino Salvatore</v>
      </c>
      <c r="B54" s="15" t="str" cm="1">
        <f t="array" aca="1" ref="B54" ca="1">+IF(IFERROR(TEXT(INDEX(INDIRECT("Pianificazione!e1:e800"),MATCH($A54&amp;B$1,INDIRECT("Pianificazione!c1:c800")&amp;INDIRECT("Pianificazione!a1:a800"),0)),"hh:mm"),"")&amp;"-"&amp;IFERROR(TEXT(INDEX(INDIRECT("Pianificazione!f1:f800"),MATCH($A54&amp;B$1,INDIRECT("Pianificazione!c1:c800")&amp;INDIRECT("Pianificazione!a1:a800"),0)),"hh:mm"),"")="-","Riposo",IFERROR(TEXT(INDEX(INDIRECT("Pianificazione!e1:e800"),MATCH($A54&amp;B$1,INDIRECT("Pianificazione!c1:c800")&amp;INDIRECT("Pianificazione!a1:a800"),0)),"hh:mm"),"")&amp;"-"&amp;IFERROR(TEXT(INDEX(INDIRECT("Pianificazione!f1:f800"),MATCH($A54&amp;B$1,INDIRECT("Pianificazione!c1:c800")&amp;INDIRECT("Pianificazione!a1:a800"),0)),"hh:mm"),""))</f>
        <v>Riposo</v>
      </c>
      <c r="C54" s="15" t="str" cm="1">
        <f t="array" aca="1" ref="C54" ca="1">+IF(IFERROR(TEXT(INDEX(INDIRECT("Pianificazione!e1:e800"),MATCH($A54&amp;C$1,INDIRECT("Pianificazione!c1:c800")&amp;INDIRECT("Pianificazione!a1:a800"),0)),"hh:mm"),"")&amp;"-"&amp;IFERROR(TEXT(INDEX(INDIRECT("Pianificazione!f1:f800"),MATCH($A54&amp;C$1,INDIRECT("Pianificazione!c1:c800")&amp;INDIRECT("Pianificazione!a1:a800"),0)),"hh:mm"),"")="-","Riposo",IFERROR(TEXT(INDEX(INDIRECT("Pianificazione!e1:e800"),MATCH($A54&amp;C$1,INDIRECT("Pianificazione!c1:c800")&amp;INDIRECT("Pianificazione!a1:a800"),0)),"hh:mm"),"")&amp;"-"&amp;IFERROR(TEXT(INDEX(INDIRECT("Pianificazione!f1:f800"),MATCH($A54&amp;C$1,INDIRECT("Pianificazione!c1:c800")&amp;INDIRECT("Pianificazione!a1:a800"),0)),"hh:mm"),""))</f>
        <v>Riposo</v>
      </c>
      <c r="D54" s="15" t="str" cm="1">
        <f t="array" aca="1" ref="D54" ca="1">+IF(IFERROR(TEXT(INDEX(INDIRECT("Pianificazione!e1:e800"),MATCH($A54&amp;D$1,INDIRECT("Pianificazione!c1:c800")&amp;INDIRECT("Pianificazione!a1:a800"),0)),"hh:mm"),"")&amp;"-"&amp;IFERROR(TEXT(INDEX(INDIRECT("Pianificazione!f1:f800"),MATCH($A54&amp;D$1,INDIRECT("Pianificazione!c1:c800")&amp;INDIRECT("Pianificazione!a1:a800"),0)),"hh:mm"),"")="-","Riposo",IFERROR(TEXT(INDEX(INDIRECT("Pianificazione!e1:e800"),MATCH($A54&amp;D$1,INDIRECT("Pianificazione!c1:c800")&amp;INDIRECT("Pianificazione!a1:a800"),0)),"hh:mm"),"")&amp;"-"&amp;IFERROR(TEXT(INDEX(INDIRECT("Pianificazione!f1:f800"),MATCH($A54&amp;D$1,INDIRECT("Pianificazione!c1:c800")&amp;INDIRECT("Pianificazione!a1:a800"),0)),"hh:mm"),""))</f>
        <v>Riposo</v>
      </c>
      <c r="E54" s="15" t="str" cm="1">
        <f t="array" aca="1" ref="E54" ca="1">+IF(IFERROR(TEXT(INDEX(INDIRECT("Pianificazione!e1:e800"),MATCH($A54&amp;E$1,INDIRECT("Pianificazione!c1:c800")&amp;INDIRECT("Pianificazione!a1:a800"),0)),"hh:mm"),"")&amp;"-"&amp;IFERROR(TEXT(INDEX(INDIRECT("Pianificazione!f1:f800"),MATCH($A54&amp;E$1,INDIRECT("Pianificazione!c1:c800")&amp;INDIRECT("Pianificazione!a1:a800"),0)),"hh:mm"),"")="-","Riposo",IFERROR(TEXT(INDEX(INDIRECT("Pianificazione!e1:e800"),MATCH($A54&amp;E$1,INDIRECT("Pianificazione!c1:c800")&amp;INDIRECT("Pianificazione!a1:a800"),0)),"hh:mm"),"")&amp;"-"&amp;IFERROR(TEXT(INDEX(INDIRECT("Pianificazione!f1:f800"),MATCH($A54&amp;E$1,INDIRECT("Pianificazione!c1:c800")&amp;INDIRECT("Pianificazione!a1:a800"),0)),"hh:mm"),""))</f>
        <v>Riposo</v>
      </c>
      <c r="F54" s="15" t="str" cm="1">
        <f t="array" aca="1" ref="F54" ca="1">+IF(IFERROR(TEXT(INDEX(INDIRECT("Pianificazione!e1:e800"),MATCH($A54&amp;F$1,INDIRECT("Pianificazione!c1:c800")&amp;INDIRECT("Pianificazione!a1:a800"),0)),"hh:mm"),"")&amp;"-"&amp;IFERROR(TEXT(INDEX(INDIRECT("Pianificazione!f1:f800"),MATCH($A54&amp;F$1,INDIRECT("Pianificazione!c1:c800")&amp;INDIRECT("Pianificazione!a1:a800"),0)),"hh:mm"),"")="-","Riposo",IFERROR(TEXT(INDEX(INDIRECT("Pianificazione!e1:e800"),MATCH($A54&amp;F$1,INDIRECT("Pianificazione!c1:c800")&amp;INDIRECT("Pianificazione!a1:a800"),0)),"hh:mm"),"")&amp;"-"&amp;IFERROR(TEXT(INDEX(INDIRECT("Pianificazione!f1:f800"),MATCH($A54&amp;F$1,INDIRECT("Pianificazione!c1:c800")&amp;INDIRECT("Pianificazione!a1:a800"),0)),"hh:mm"),""))</f>
        <v>Riposo</v>
      </c>
      <c r="G54" s="15" t="str" cm="1">
        <f t="array" aca="1" ref="G54" ca="1">+IF(IFERROR(TEXT(INDEX(INDIRECT("Pianificazione!e1:e800"),MATCH($A54&amp;G$1,INDIRECT("Pianificazione!c1:c800")&amp;INDIRECT("Pianificazione!a1:a800"),0)),"hh:mm"),"")&amp;"-"&amp;IFERROR(TEXT(INDEX(INDIRECT("Pianificazione!f1:f800"),MATCH($A54&amp;G$1,INDIRECT("Pianificazione!c1:c800")&amp;INDIRECT("Pianificazione!a1:a800"),0)),"hh:mm"),"")="-","Riposo",IFERROR(TEXT(INDEX(INDIRECT("Pianificazione!e1:e800"),MATCH($A54&amp;G$1,INDIRECT("Pianificazione!c1:c800")&amp;INDIRECT("Pianificazione!a1:a800"),0)),"hh:mm"),"")&amp;"-"&amp;IFERROR(TEXT(INDEX(INDIRECT("Pianificazione!f1:f800"),MATCH($A54&amp;G$1,INDIRECT("Pianificazione!c1:c800")&amp;INDIRECT("Pianificazione!a1:a800"),0)),"hh:mm"),""))</f>
        <v>Riposo</v>
      </c>
      <c r="H54" s="15" t="str" cm="1">
        <f t="array" aca="1" ref="H54" ca="1">+IF(IFERROR(TEXT(INDEX(INDIRECT("Pianificazione!e1:e800"),MATCH($A54&amp;H$1,INDIRECT("Pianificazione!c1:c800")&amp;INDIRECT("Pianificazione!a1:a800"),0)),"hh:mm"),"")&amp;"-"&amp;IFERROR(TEXT(INDEX(INDIRECT("Pianificazione!f1:f800"),MATCH($A54&amp;H$1,INDIRECT("Pianificazione!c1:c800")&amp;INDIRECT("Pianificazione!a1:a800"),0)),"hh:mm"),"")="-","Riposo",IFERROR(TEXT(INDEX(INDIRECT("Pianificazione!e1:e800"),MATCH($A54&amp;H$1,INDIRECT("Pianificazione!c1:c800")&amp;INDIRECT("Pianificazione!a1:a800"),0)),"hh:mm"),"")&amp;"-"&amp;IFERROR(TEXT(INDEX(INDIRECT("Pianificazione!f1:f800"),MATCH($A54&amp;H$1,INDIRECT("Pianificazione!c1:c800")&amp;INDIRECT("Pianificazione!a1:a800"),0)),"hh:mm"),""))</f>
        <v>Riposo</v>
      </c>
    </row>
    <row r="55" spans="1:8">
      <c r="A55" t="str">
        <f>+Risorse!B55</f>
        <v>Sausa Antonino</v>
      </c>
      <c r="B55" s="15" t="str" cm="1">
        <f t="array" aca="1" ref="B55" ca="1">+IF(IFERROR(TEXT(INDEX(INDIRECT("Pianificazione!e1:e800"),MATCH($A55&amp;B$1,INDIRECT("Pianificazione!c1:c800")&amp;INDIRECT("Pianificazione!a1:a800"),0)),"hh:mm"),"")&amp;"-"&amp;IFERROR(TEXT(INDEX(INDIRECT("Pianificazione!f1:f800"),MATCH($A55&amp;B$1,INDIRECT("Pianificazione!c1:c800")&amp;INDIRECT("Pianificazione!a1:a800"),0)),"hh:mm"),"")="-","Riposo",IFERROR(TEXT(INDEX(INDIRECT("Pianificazione!e1:e800"),MATCH($A55&amp;B$1,INDIRECT("Pianificazione!c1:c800")&amp;INDIRECT("Pianificazione!a1:a800"),0)),"hh:mm"),"")&amp;"-"&amp;IFERROR(TEXT(INDEX(INDIRECT("Pianificazione!f1:f800"),MATCH($A55&amp;B$1,INDIRECT("Pianificazione!c1:c800")&amp;INDIRECT("Pianificazione!a1:a800"),0)),"hh:mm"),""))</f>
        <v>Riposo</v>
      </c>
      <c r="C55" s="15" t="str" cm="1">
        <f t="array" aca="1" ref="C55" ca="1">+IF(IFERROR(TEXT(INDEX(INDIRECT("Pianificazione!e1:e800"),MATCH($A55&amp;C$1,INDIRECT("Pianificazione!c1:c800")&amp;INDIRECT("Pianificazione!a1:a800"),0)),"hh:mm"),"")&amp;"-"&amp;IFERROR(TEXT(INDEX(INDIRECT("Pianificazione!f1:f800"),MATCH($A55&amp;C$1,INDIRECT("Pianificazione!c1:c800")&amp;INDIRECT("Pianificazione!a1:a800"),0)),"hh:mm"),"")="-","Riposo",IFERROR(TEXT(INDEX(INDIRECT("Pianificazione!e1:e800"),MATCH($A55&amp;C$1,INDIRECT("Pianificazione!c1:c800")&amp;INDIRECT("Pianificazione!a1:a800"),0)),"hh:mm"),"")&amp;"-"&amp;IFERROR(TEXT(INDEX(INDIRECT("Pianificazione!f1:f800"),MATCH($A55&amp;C$1,INDIRECT("Pianificazione!c1:c800")&amp;INDIRECT("Pianificazione!a1:a800"),0)),"hh:mm"),""))</f>
        <v>Riposo</v>
      </c>
      <c r="D55" s="15" t="str" cm="1">
        <f t="array" aca="1" ref="D55" ca="1">+IF(IFERROR(TEXT(INDEX(INDIRECT("Pianificazione!e1:e800"),MATCH($A55&amp;D$1,INDIRECT("Pianificazione!c1:c800")&amp;INDIRECT("Pianificazione!a1:a800"),0)),"hh:mm"),"")&amp;"-"&amp;IFERROR(TEXT(INDEX(INDIRECT("Pianificazione!f1:f800"),MATCH($A55&amp;D$1,INDIRECT("Pianificazione!c1:c800")&amp;INDIRECT("Pianificazione!a1:a800"),0)),"hh:mm"),"")="-","Riposo",IFERROR(TEXT(INDEX(INDIRECT("Pianificazione!e1:e800"),MATCH($A55&amp;D$1,INDIRECT("Pianificazione!c1:c800")&amp;INDIRECT("Pianificazione!a1:a800"),0)),"hh:mm"),"")&amp;"-"&amp;IFERROR(TEXT(INDEX(INDIRECT("Pianificazione!f1:f800"),MATCH($A55&amp;D$1,INDIRECT("Pianificazione!c1:c800")&amp;INDIRECT("Pianificazione!a1:a800"),0)),"hh:mm"),""))</f>
        <v>Riposo</v>
      </c>
      <c r="E55" s="15" t="str" cm="1">
        <f t="array" aca="1" ref="E55" ca="1">+IF(IFERROR(TEXT(INDEX(INDIRECT("Pianificazione!e1:e800"),MATCH($A55&amp;E$1,INDIRECT("Pianificazione!c1:c800")&amp;INDIRECT("Pianificazione!a1:a800"),0)),"hh:mm"),"")&amp;"-"&amp;IFERROR(TEXT(INDEX(INDIRECT("Pianificazione!f1:f800"),MATCH($A55&amp;E$1,INDIRECT("Pianificazione!c1:c800")&amp;INDIRECT("Pianificazione!a1:a800"),0)),"hh:mm"),"")="-","Riposo",IFERROR(TEXT(INDEX(INDIRECT("Pianificazione!e1:e800"),MATCH($A55&amp;E$1,INDIRECT("Pianificazione!c1:c800")&amp;INDIRECT("Pianificazione!a1:a800"),0)),"hh:mm"),"")&amp;"-"&amp;IFERROR(TEXT(INDEX(INDIRECT("Pianificazione!f1:f800"),MATCH($A55&amp;E$1,INDIRECT("Pianificazione!c1:c800")&amp;INDIRECT("Pianificazione!a1:a800"),0)),"hh:mm"),""))</f>
        <v>Riposo</v>
      </c>
      <c r="F55" s="15" t="str" cm="1">
        <f t="array" aca="1" ref="F55" ca="1">+IF(IFERROR(TEXT(INDEX(INDIRECT("Pianificazione!e1:e800"),MATCH($A55&amp;F$1,INDIRECT("Pianificazione!c1:c800")&amp;INDIRECT("Pianificazione!a1:a800"),0)),"hh:mm"),"")&amp;"-"&amp;IFERROR(TEXT(INDEX(INDIRECT("Pianificazione!f1:f800"),MATCH($A55&amp;F$1,INDIRECT("Pianificazione!c1:c800")&amp;INDIRECT("Pianificazione!a1:a800"),0)),"hh:mm"),"")="-","Riposo",IFERROR(TEXT(INDEX(INDIRECT("Pianificazione!e1:e800"),MATCH($A55&amp;F$1,INDIRECT("Pianificazione!c1:c800")&amp;INDIRECT("Pianificazione!a1:a800"),0)),"hh:mm"),"")&amp;"-"&amp;IFERROR(TEXT(INDEX(INDIRECT("Pianificazione!f1:f800"),MATCH($A55&amp;F$1,INDIRECT("Pianificazione!c1:c800")&amp;INDIRECT("Pianificazione!a1:a800"),0)),"hh:mm"),""))</f>
        <v>Riposo</v>
      </c>
      <c r="G55" s="15" t="str" cm="1">
        <f t="array" aca="1" ref="G55" ca="1">+IF(IFERROR(TEXT(INDEX(INDIRECT("Pianificazione!e1:e800"),MATCH($A55&amp;G$1,INDIRECT("Pianificazione!c1:c800")&amp;INDIRECT("Pianificazione!a1:a800"),0)),"hh:mm"),"")&amp;"-"&amp;IFERROR(TEXT(INDEX(INDIRECT("Pianificazione!f1:f800"),MATCH($A55&amp;G$1,INDIRECT("Pianificazione!c1:c800")&amp;INDIRECT("Pianificazione!a1:a800"),0)),"hh:mm"),"")="-","Riposo",IFERROR(TEXT(INDEX(INDIRECT("Pianificazione!e1:e800"),MATCH($A55&amp;G$1,INDIRECT("Pianificazione!c1:c800")&amp;INDIRECT("Pianificazione!a1:a800"),0)),"hh:mm"),"")&amp;"-"&amp;IFERROR(TEXT(INDEX(INDIRECT("Pianificazione!f1:f800"),MATCH($A55&amp;G$1,INDIRECT("Pianificazione!c1:c800")&amp;INDIRECT("Pianificazione!a1:a800"),0)),"hh:mm"),""))</f>
        <v>Riposo</v>
      </c>
      <c r="H55" s="15" t="str" cm="1">
        <f t="array" aca="1" ref="H55" ca="1">+IF(IFERROR(TEXT(INDEX(INDIRECT("Pianificazione!e1:e800"),MATCH($A55&amp;H$1,INDIRECT("Pianificazione!c1:c800")&amp;INDIRECT("Pianificazione!a1:a800"),0)),"hh:mm"),"")&amp;"-"&amp;IFERROR(TEXT(INDEX(INDIRECT("Pianificazione!f1:f800"),MATCH($A55&amp;H$1,INDIRECT("Pianificazione!c1:c800")&amp;INDIRECT("Pianificazione!a1:a800"),0)),"hh:mm"),"")="-","Riposo",IFERROR(TEXT(INDEX(INDIRECT("Pianificazione!e1:e800"),MATCH($A55&amp;H$1,INDIRECT("Pianificazione!c1:c800")&amp;INDIRECT("Pianificazione!a1:a800"),0)),"hh:mm"),"")&amp;"-"&amp;IFERROR(TEXT(INDEX(INDIRECT("Pianificazione!f1:f800"),MATCH($A55&amp;H$1,INDIRECT("Pianificazione!c1:c800")&amp;INDIRECT("Pianificazione!a1:a800"),0)),"hh:mm"),""))</f>
        <v>Riposo</v>
      </c>
    </row>
    <row r="56" spans="1:8">
      <c r="A56" t="str">
        <f>+Risorse!B56</f>
        <v>Schillaci angela</v>
      </c>
      <c r="B56" s="15" t="str" cm="1">
        <f t="array" aca="1" ref="B56" ca="1">+IF(IFERROR(TEXT(INDEX(INDIRECT("Pianificazione!e1:e800"),MATCH($A56&amp;B$1,INDIRECT("Pianificazione!c1:c800")&amp;INDIRECT("Pianificazione!a1:a800"),0)),"hh:mm"),"")&amp;"-"&amp;IFERROR(TEXT(INDEX(INDIRECT("Pianificazione!f1:f800"),MATCH($A56&amp;B$1,INDIRECT("Pianificazione!c1:c800")&amp;INDIRECT("Pianificazione!a1:a800"),0)),"hh:mm"),"")="-","Riposo",IFERROR(TEXT(INDEX(INDIRECT("Pianificazione!e1:e800"),MATCH($A56&amp;B$1,INDIRECT("Pianificazione!c1:c800")&amp;INDIRECT("Pianificazione!a1:a800"),0)),"hh:mm"),"")&amp;"-"&amp;IFERROR(TEXT(INDEX(INDIRECT("Pianificazione!f1:f800"),MATCH($A56&amp;B$1,INDIRECT("Pianificazione!c1:c800")&amp;INDIRECT("Pianificazione!a1:a800"),0)),"hh:mm"),""))</f>
        <v>Riposo</v>
      </c>
      <c r="C56" s="15" t="str" cm="1">
        <f t="array" aca="1" ref="C56" ca="1">+IF(IFERROR(TEXT(INDEX(INDIRECT("Pianificazione!e1:e800"),MATCH($A56&amp;C$1,INDIRECT("Pianificazione!c1:c800")&amp;INDIRECT("Pianificazione!a1:a800"),0)),"hh:mm"),"")&amp;"-"&amp;IFERROR(TEXT(INDEX(INDIRECT("Pianificazione!f1:f800"),MATCH($A56&amp;C$1,INDIRECT("Pianificazione!c1:c800")&amp;INDIRECT("Pianificazione!a1:a800"),0)),"hh:mm"),"")="-","Riposo",IFERROR(TEXT(INDEX(INDIRECT("Pianificazione!e1:e800"),MATCH($A56&amp;C$1,INDIRECT("Pianificazione!c1:c800")&amp;INDIRECT("Pianificazione!a1:a800"),0)),"hh:mm"),"")&amp;"-"&amp;IFERROR(TEXT(INDEX(INDIRECT("Pianificazione!f1:f800"),MATCH($A56&amp;C$1,INDIRECT("Pianificazione!c1:c800")&amp;INDIRECT("Pianificazione!a1:a800"),0)),"hh:mm"),""))</f>
        <v>Riposo</v>
      </c>
      <c r="D56" s="15" t="str" cm="1">
        <f t="array" aca="1" ref="D56" ca="1">+IF(IFERROR(TEXT(INDEX(INDIRECT("Pianificazione!e1:e800"),MATCH($A56&amp;D$1,INDIRECT("Pianificazione!c1:c800")&amp;INDIRECT("Pianificazione!a1:a800"),0)),"hh:mm"),"")&amp;"-"&amp;IFERROR(TEXT(INDEX(INDIRECT("Pianificazione!f1:f800"),MATCH($A56&amp;D$1,INDIRECT("Pianificazione!c1:c800")&amp;INDIRECT("Pianificazione!a1:a800"),0)),"hh:mm"),"")="-","Riposo",IFERROR(TEXT(INDEX(INDIRECT("Pianificazione!e1:e800"),MATCH($A56&amp;D$1,INDIRECT("Pianificazione!c1:c800")&amp;INDIRECT("Pianificazione!a1:a800"),0)),"hh:mm"),"")&amp;"-"&amp;IFERROR(TEXT(INDEX(INDIRECT("Pianificazione!f1:f800"),MATCH($A56&amp;D$1,INDIRECT("Pianificazione!c1:c800")&amp;INDIRECT("Pianificazione!a1:a800"),0)),"hh:mm"),""))</f>
        <v>Riposo</v>
      </c>
      <c r="E56" s="15" t="str" cm="1">
        <f t="array" aca="1" ref="E56" ca="1">+IF(IFERROR(TEXT(INDEX(INDIRECT("Pianificazione!e1:e800"),MATCH($A56&amp;E$1,INDIRECT("Pianificazione!c1:c800")&amp;INDIRECT("Pianificazione!a1:a800"),0)),"hh:mm"),"")&amp;"-"&amp;IFERROR(TEXT(INDEX(INDIRECT("Pianificazione!f1:f800"),MATCH($A56&amp;E$1,INDIRECT("Pianificazione!c1:c800")&amp;INDIRECT("Pianificazione!a1:a800"),0)),"hh:mm"),"")="-","Riposo",IFERROR(TEXT(INDEX(INDIRECT("Pianificazione!e1:e800"),MATCH($A56&amp;E$1,INDIRECT("Pianificazione!c1:c800")&amp;INDIRECT("Pianificazione!a1:a800"),0)),"hh:mm"),"")&amp;"-"&amp;IFERROR(TEXT(INDEX(INDIRECT("Pianificazione!f1:f800"),MATCH($A56&amp;E$1,INDIRECT("Pianificazione!c1:c800")&amp;INDIRECT("Pianificazione!a1:a800"),0)),"hh:mm"),""))</f>
        <v>Riposo</v>
      </c>
      <c r="F56" s="15" t="str" cm="1">
        <f t="array" aca="1" ref="F56" ca="1">+IF(IFERROR(TEXT(INDEX(INDIRECT("Pianificazione!e1:e800"),MATCH($A56&amp;F$1,INDIRECT("Pianificazione!c1:c800")&amp;INDIRECT("Pianificazione!a1:a800"),0)),"hh:mm"),"")&amp;"-"&amp;IFERROR(TEXT(INDEX(INDIRECT("Pianificazione!f1:f800"),MATCH($A56&amp;F$1,INDIRECT("Pianificazione!c1:c800")&amp;INDIRECT("Pianificazione!a1:a800"),0)),"hh:mm"),"")="-","Riposo",IFERROR(TEXT(INDEX(INDIRECT("Pianificazione!e1:e800"),MATCH($A56&amp;F$1,INDIRECT("Pianificazione!c1:c800")&amp;INDIRECT("Pianificazione!a1:a800"),0)),"hh:mm"),"")&amp;"-"&amp;IFERROR(TEXT(INDEX(INDIRECT("Pianificazione!f1:f800"),MATCH($A56&amp;F$1,INDIRECT("Pianificazione!c1:c800")&amp;INDIRECT("Pianificazione!a1:a800"),0)),"hh:mm"),""))</f>
        <v>Riposo</v>
      </c>
      <c r="G56" s="15" t="str" cm="1">
        <f t="array" aca="1" ref="G56" ca="1">+IF(IFERROR(TEXT(INDEX(INDIRECT("Pianificazione!e1:e800"),MATCH($A56&amp;G$1,INDIRECT("Pianificazione!c1:c800")&amp;INDIRECT("Pianificazione!a1:a800"),0)),"hh:mm"),"")&amp;"-"&amp;IFERROR(TEXT(INDEX(INDIRECT("Pianificazione!f1:f800"),MATCH($A56&amp;G$1,INDIRECT("Pianificazione!c1:c800")&amp;INDIRECT("Pianificazione!a1:a800"),0)),"hh:mm"),"")="-","Riposo",IFERROR(TEXT(INDEX(INDIRECT("Pianificazione!e1:e800"),MATCH($A56&amp;G$1,INDIRECT("Pianificazione!c1:c800")&amp;INDIRECT("Pianificazione!a1:a800"),0)),"hh:mm"),"")&amp;"-"&amp;IFERROR(TEXT(INDEX(INDIRECT("Pianificazione!f1:f800"),MATCH($A56&amp;G$1,INDIRECT("Pianificazione!c1:c800")&amp;INDIRECT("Pianificazione!a1:a800"),0)),"hh:mm"),""))</f>
        <v>Riposo</v>
      </c>
      <c r="H56" s="15" t="str" cm="1">
        <f t="array" aca="1" ref="H56" ca="1">+IF(IFERROR(TEXT(INDEX(INDIRECT("Pianificazione!e1:e800"),MATCH($A56&amp;H$1,INDIRECT("Pianificazione!c1:c800")&amp;INDIRECT("Pianificazione!a1:a800"),0)),"hh:mm"),"")&amp;"-"&amp;IFERROR(TEXT(INDEX(INDIRECT("Pianificazione!f1:f800"),MATCH($A56&amp;H$1,INDIRECT("Pianificazione!c1:c800")&amp;INDIRECT("Pianificazione!a1:a800"),0)),"hh:mm"),"")="-","Riposo",IFERROR(TEXT(INDEX(INDIRECT("Pianificazione!e1:e800"),MATCH($A56&amp;H$1,INDIRECT("Pianificazione!c1:c800")&amp;INDIRECT("Pianificazione!a1:a800"),0)),"hh:mm"),"")&amp;"-"&amp;IFERROR(TEXT(INDEX(INDIRECT("Pianificazione!f1:f800"),MATCH($A56&amp;H$1,INDIRECT("Pianificazione!c1:c800")&amp;INDIRECT("Pianificazione!a1:a800"),0)),"hh:mm"),""))</f>
        <v>Riposo</v>
      </c>
    </row>
    <row r="57" spans="1:8">
      <c r="A57" t="str">
        <f>+Risorse!B57</f>
        <v>Sciortino Patrizia</v>
      </c>
      <c r="B57" s="15" t="str" cm="1">
        <f t="array" aca="1" ref="B57" ca="1">+IF(IFERROR(TEXT(INDEX(INDIRECT("Pianificazione!e1:e800"),MATCH($A57&amp;B$1,INDIRECT("Pianificazione!c1:c800")&amp;INDIRECT("Pianificazione!a1:a800"),0)),"hh:mm"),"")&amp;"-"&amp;IFERROR(TEXT(INDEX(INDIRECT("Pianificazione!f1:f800"),MATCH($A57&amp;B$1,INDIRECT("Pianificazione!c1:c800")&amp;INDIRECT("Pianificazione!a1:a800"),0)),"hh:mm"),"")="-","Riposo",IFERROR(TEXT(INDEX(INDIRECT("Pianificazione!e1:e800"),MATCH($A57&amp;B$1,INDIRECT("Pianificazione!c1:c800")&amp;INDIRECT("Pianificazione!a1:a800"),0)),"hh:mm"),"")&amp;"-"&amp;IFERROR(TEXT(INDEX(INDIRECT("Pianificazione!f1:f800"),MATCH($A57&amp;B$1,INDIRECT("Pianificazione!c1:c800")&amp;INDIRECT("Pianificazione!a1:a800"),0)),"hh:mm"),""))</f>
        <v>Riposo</v>
      </c>
      <c r="C57" s="15" t="str" cm="1">
        <f t="array" aca="1" ref="C57" ca="1">+IF(IFERROR(TEXT(INDEX(INDIRECT("Pianificazione!e1:e800"),MATCH($A57&amp;C$1,INDIRECT("Pianificazione!c1:c800")&amp;INDIRECT("Pianificazione!a1:a800"),0)),"hh:mm"),"")&amp;"-"&amp;IFERROR(TEXT(INDEX(INDIRECT("Pianificazione!f1:f800"),MATCH($A57&amp;C$1,INDIRECT("Pianificazione!c1:c800")&amp;INDIRECT("Pianificazione!a1:a800"),0)),"hh:mm"),"")="-","Riposo",IFERROR(TEXT(INDEX(INDIRECT("Pianificazione!e1:e800"),MATCH($A57&amp;C$1,INDIRECT("Pianificazione!c1:c800")&amp;INDIRECT("Pianificazione!a1:a800"),0)),"hh:mm"),"")&amp;"-"&amp;IFERROR(TEXT(INDEX(INDIRECT("Pianificazione!f1:f800"),MATCH($A57&amp;C$1,INDIRECT("Pianificazione!c1:c800")&amp;INDIRECT("Pianificazione!a1:a800"),0)),"hh:mm"),""))</f>
        <v>Riposo</v>
      </c>
      <c r="D57" s="15" t="str" cm="1">
        <f t="array" aca="1" ref="D57" ca="1">+IF(IFERROR(TEXT(INDEX(INDIRECT("Pianificazione!e1:e800"),MATCH($A57&amp;D$1,INDIRECT("Pianificazione!c1:c800")&amp;INDIRECT("Pianificazione!a1:a800"),0)),"hh:mm"),"")&amp;"-"&amp;IFERROR(TEXT(INDEX(INDIRECT("Pianificazione!f1:f800"),MATCH($A57&amp;D$1,INDIRECT("Pianificazione!c1:c800")&amp;INDIRECT("Pianificazione!a1:a800"),0)),"hh:mm"),"")="-","Riposo",IFERROR(TEXT(INDEX(INDIRECT("Pianificazione!e1:e800"),MATCH($A57&amp;D$1,INDIRECT("Pianificazione!c1:c800")&amp;INDIRECT("Pianificazione!a1:a800"),0)),"hh:mm"),"")&amp;"-"&amp;IFERROR(TEXT(INDEX(INDIRECT("Pianificazione!f1:f800"),MATCH($A57&amp;D$1,INDIRECT("Pianificazione!c1:c800")&amp;INDIRECT("Pianificazione!a1:a800"),0)),"hh:mm"),""))</f>
        <v>Riposo</v>
      </c>
      <c r="E57" s="15" t="str" cm="1">
        <f t="array" aca="1" ref="E57" ca="1">+IF(IFERROR(TEXT(INDEX(INDIRECT("Pianificazione!e1:e800"),MATCH($A57&amp;E$1,INDIRECT("Pianificazione!c1:c800")&amp;INDIRECT("Pianificazione!a1:a800"),0)),"hh:mm"),"")&amp;"-"&amp;IFERROR(TEXT(INDEX(INDIRECT("Pianificazione!f1:f800"),MATCH($A57&amp;E$1,INDIRECT("Pianificazione!c1:c800")&amp;INDIRECT("Pianificazione!a1:a800"),0)),"hh:mm"),"")="-","Riposo",IFERROR(TEXT(INDEX(INDIRECT("Pianificazione!e1:e800"),MATCH($A57&amp;E$1,INDIRECT("Pianificazione!c1:c800")&amp;INDIRECT("Pianificazione!a1:a800"),0)),"hh:mm"),"")&amp;"-"&amp;IFERROR(TEXT(INDEX(INDIRECT("Pianificazione!f1:f800"),MATCH($A57&amp;E$1,INDIRECT("Pianificazione!c1:c800")&amp;INDIRECT("Pianificazione!a1:a800"),0)),"hh:mm"),""))</f>
        <v>Riposo</v>
      </c>
      <c r="F57" s="15" t="str" cm="1">
        <f t="array" aca="1" ref="F57" ca="1">+IF(IFERROR(TEXT(INDEX(INDIRECT("Pianificazione!e1:e800"),MATCH($A57&amp;F$1,INDIRECT("Pianificazione!c1:c800")&amp;INDIRECT("Pianificazione!a1:a800"),0)),"hh:mm"),"")&amp;"-"&amp;IFERROR(TEXT(INDEX(INDIRECT("Pianificazione!f1:f800"),MATCH($A57&amp;F$1,INDIRECT("Pianificazione!c1:c800")&amp;INDIRECT("Pianificazione!a1:a800"),0)),"hh:mm"),"")="-","Riposo",IFERROR(TEXT(INDEX(INDIRECT("Pianificazione!e1:e800"),MATCH($A57&amp;F$1,INDIRECT("Pianificazione!c1:c800")&amp;INDIRECT("Pianificazione!a1:a800"),0)),"hh:mm"),"")&amp;"-"&amp;IFERROR(TEXT(INDEX(INDIRECT("Pianificazione!f1:f800"),MATCH($A57&amp;F$1,INDIRECT("Pianificazione!c1:c800")&amp;INDIRECT("Pianificazione!a1:a800"),0)),"hh:mm"),""))</f>
        <v>Riposo</v>
      </c>
      <c r="G57" s="15" t="str" cm="1">
        <f t="array" aca="1" ref="G57" ca="1">+IF(IFERROR(TEXT(INDEX(INDIRECT("Pianificazione!e1:e800"),MATCH($A57&amp;G$1,INDIRECT("Pianificazione!c1:c800")&amp;INDIRECT("Pianificazione!a1:a800"),0)),"hh:mm"),"")&amp;"-"&amp;IFERROR(TEXT(INDEX(INDIRECT("Pianificazione!f1:f800"),MATCH($A57&amp;G$1,INDIRECT("Pianificazione!c1:c800")&amp;INDIRECT("Pianificazione!a1:a800"),0)),"hh:mm"),"")="-","Riposo",IFERROR(TEXT(INDEX(INDIRECT("Pianificazione!e1:e800"),MATCH($A57&amp;G$1,INDIRECT("Pianificazione!c1:c800")&amp;INDIRECT("Pianificazione!a1:a800"),0)),"hh:mm"),"")&amp;"-"&amp;IFERROR(TEXT(INDEX(INDIRECT("Pianificazione!f1:f800"),MATCH($A57&amp;G$1,INDIRECT("Pianificazione!c1:c800")&amp;INDIRECT("Pianificazione!a1:a800"),0)),"hh:mm"),""))</f>
        <v>Riposo</v>
      </c>
      <c r="H57" s="15" t="str" cm="1">
        <f t="array" aca="1" ref="H57" ca="1">+IF(IFERROR(TEXT(INDEX(INDIRECT("Pianificazione!e1:e800"),MATCH($A57&amp;H$1,INDIRECT("Pianificazione!c1:c800")&amp;INDIRECT("Pianificazione!a1:a800"),0)),"hh:mm"),"")&amp;"-"&amp;IFERROR(TEXT(INDEX(INDIRECT("Pianificazione!f1:f800"),MATCH($A57&amp;H$1,INDIRECT("Pianificazione!c1:c800")&amp;INDIRECT("Pianificazione!a1:a800"),0)),"hh:mm"),"")="-","Riposo",IFERROR(TEXT(INDEX(INDIRECT("Pianificazione!e1:e800"),MATCH($A57&amp;H$1,INDIRECT("Pianificazione!c1:c800")&amp;INDIRECT("Pianificazione!a1:a800"),0)),"hh:mm"),"")&amp;"-"&amp;IFERROR(TEXT(INDEX(INDIRECT("Pianificazione!f1:f800"),MATCH($A57&amp;H$1,INDIRECT("Pianificazione!c1:c800")&amp;INDIRECT("Pianificazione!a1:a800"),0)),"hh:mm"),""))</f>
        <v>Riposo</v>
      </c>
    </row>
    <row r="58" spans="1:8">
      <c r="A58" t="str">
        <f>+Risorse!B58</f>
        <v>Siragusa Teresa</v>
      </c>
      <c r="B58" s="15" t="str" cm="1">
        <f t="array" aca="1" ref="B58" ca="1">+IF(IFERROR(TEXT(INDEX(INDIRECT("Pianificazione!e1:e800"),MATCH($A58&amp;B$1,INDIRECT("Pianificazione!c1:c800")&amp;INDIRECT("Pianificazione!a1:a800"),0)),"hh:mm"),"")&amp;"-"&amp;IFERROR(TEXT(INDEX(INDIRECT("Pianificazione!f1:f800"),MATCH($A58&amp;B$1,INDIRECT("Pianificazione!c1:c800")&amp;INDIRECT("Pianificazione!a1:a800"),0)),"hh:mm"),"")="-","Riposo",IFERROR(TEXT(INDEX(INDIRECT("Pianificazione!e1:e800"),MATCH($A58&amp;B$1,INDIRECT("Pianificazione!c1:c800")&amp;INDIRECT("Pianificazione!a1:a800"),0)),"hh:mm"),"")&amp;"-"&amp;IFERROR(TEXT(INDEX(INDIRECT("Pianificazione!f1:f800"),MATCH($A58&amp;B$1,INDIRECT("Pianificazione!c1:c800")&amp;INDIRECT("Pianificazione!a1:a800"),0)),"hh:mm"),""))</f>
        <v>Riposo</v>
      </c>
      <c r="C58" s="15" t="str" cm="1">
        <f t="array" aca="1" ref="C58" ca="1">+IF(IFERROR(TEXT(INDEX(INDIRECT("Pianificazione!e1:e800"),MATCH($A58&amp;C$1,INDIRECT("Pianificazione!c1:c800")&amp;INDIRECT("Pianificazione!a1:a800"),0)),"hh:mm"),"")&amp;"-"&amp;IFERROR(TEXT(INDEX(INDIRECT("Pianificazione!f1:f800"),MATCH($A58&amp;C$1,INDIRECT("Pianificazione!c1:c800")&amp;INDIRECT("Pianificazione!a1:a800"),0)),"hh:mm"),"")="-","Riposo",IFERROR(TEXT(INDEX(INDIRECT("Pianificazione!e1:e800"),MATCH($A58&amp;C$1,INDIRECT("Pianificazione!c1:c800")&amp;INDIRECT("Pianificazione!a1:a800"),0)),"hh:mm"),"")&amp;"-"&amp;IFERROR(TEXT(INDEX(INDIRECT("Pianificazione!f1:f800"),MATCH($A58&amp;C$1,INDIRECT("Pianificazione!c1:c800")&amp;INDIRECT("Pianificazione!a1:a800"),0)),"hh:mm"),""))</f>
        <v>Riposo</v>
      </c>
      <c r="D58" s="15" t="str" cm="1">
        <f t="array" aca="1" ref="D58" ca="1">+IF(IFERROR(TEXT(INDEX(INDIRECT("Pianificazione!e1:e800"),MATCH($A58&amp;D$1,INDIRECT("Pianificazione!c1:c800")&amp;INDIRECT("Pianificazione!a1:a800"),0)),"hh:mm"),"")&amp;"-"&amp;IFERROR(TEXT(INDEX(INDIRECT("Pianificazione!f1:f800"),MATCH($A58&amp;D$1,INDIRECT("Pianificazione!c1:c800")&amp;INDIRECT("Pianificazione!a1:a800"),0)),"hh:mm"),"")="-","Riposo",IFERROR(TEXT(INDEX(INDIRECT("Pianificazione!e1:e800"),MATCH($A58&amp;D$1,INDIRECT("Pianificazione!c1:c800")&amp;INDIRECT("Pianificazione!a1:a800"),0)),"hh:mm"),"")&amp;"-"&amp;IFERROR(TEXT(INDEX(INDIRECT("Pianificazione!f1:f800"),MATCH($A58&amp;D$1,INDIRECT("Pianificazione!c1:c800")&amp;INDIRECT("Pianificazione!a1:a800"),0)),"hh:mm"),""))</f>
        <v>Riposo</v>
      </c>
      <c r="E58" s="15" t="str" cm="1">
        <f t="array" aca="1" ref="E58" ca="1">+IF(IFERROR(TEXT(INDEX(INDIRECT("Pianificazione!e1:e800"),MATCH($A58&amp;E$1,INDIRECT("Pianificazione!c1:c800")&amp;INDIRECT("Pianificazione!a1:a800"),0)),"hh:mm"),"")&amp;"-"&amp;IFERROR(TEXT(INDEX(INDIRECT("Pianificazione!f1:f800"),MATCH($A58&amp;E$1,INDIRECT("Pianificazione!c1:c800")&amp;INDIRECT("Pianificazione!a1:a800"),0)),"hh:mm"),"")="-","Riposo",IFERROR(TEXT(INDEX(INDIRECT("Pianificazione!e1:e800"),MATCH($A58&amp;E$1,INDIRECT("Pianificazione!c1:c800")&amp;INDIRECT("Pianificazione!a1:a800"),0)),"hh:mm"),"")&amp;"-"&amp;IFERROR(TEXT(INDEX(INDIRECT("Pianificazione!f1:f800"),MATCH($A58&amp;E$1,INDIRECT("Pianificazione!c1:c800")&amp;INDIRECT("Pianificazione!a1:a800"),0)),"hh:mm"),""))</f>
        <v>Riposo</v>
      </c>
      <c r="F58" s="15" t="str" cm="1">
        <f t="array" aca="1" ref="F58" ca="1">+IF(IFERROR(TEXT(INDEX(INDIRECT("Pianificazione!e1:e800"),MATCH($A58&amp;F$1,INDIRECT("Pianificazione!c1:c800")&amp;INDIRECT("Pianificazione!a1:a800"),0)),"hh:mm"),"")&amp;"-"&amp;IFERROR(TEXT(INDEX(INDIRECT("Pianificazione!f1:f800"),MATCH($A58&amp;F$1,INDIRECT("Pianificazione!c1:c800")&amp;INDIRECT("Pianificazione!a1:a800"),0)),"hh:mm"),"")="-","Riposo",IFERROR(TEXT(INDEX(INDIRECT("Pianificazione!e1:e800"),MATCH($A58&amp;F$1,INDIRECT("Pianificazione!c1:c800")&amp;INDIRECT("Pianificazione!a1:a800"),0)),"hh:mm"),"")&amp;"-"&amp;IFERROR(TEXT(INDEX(INDIRECT("Pianificazione!f1:f800"),MATCH($A58&amp;F$1,INDIRECT("Pianificazione!c1:c800")&amp;INDIRECT("Pianificazione!a1:a800"),0)),"hh:mm"),""))</f>
        <v>Riposo</v>
      </c>
      <c r="G58" s="15" t="str" cm="1">
        <f t="array" aca="1" ref="G58" ca="1">+IF(IFERROR(TEXT(INDEX(INDIRECT("Pianificazione!e1:e800"),MATCH($A58&amp;G$1,INDIRECT("Pianificazione!c1:c800")&amp;INDIRECT("Pianificazione!a1:a800"),0)),"hh:mm"),"")&amp;"-"&amp;IFERROR(TEXT(INDEX(INDIRECT("Pianificazione!f1:f800"),MATCH($A58&amp;G$1,INDIRECT("Pianificazione!c1:c800")&amp;INDIRECT("Pianificazione!a1:a800"),0)),"hh:mm"),"")="-","Riposo",IFERROR(TEXT(INDEX(INDIRECT("Pianificazione!e1:e800"),MATCH($A58&amp;G$1,INDIRECT("Pianificazione!c1:c800")&amp;INDIRECT("Pianificazione!a1:a800"),0)),"hh:mm"),"")&amp;"-"&amp;IFERROR(TEXT(INDEX(INDIRECT("Pianificazione!f1:f800"),MATCH($A58&amp;G$1,INDIRECT("Pianificazione!c1:c800")&amp;INDIRECT("Pianificazione!a1:a800"),0)),"hh:mm"),""))</f>
        <v>Riposo</v>
      </c>
      <c r="H58" s="15" t="str" cm="1">
        <f t="array" aca="1" ref="H58" ca="1">+IF(IFERROR(TEXT(INDEX(INDIRECT("Pianificazione!e1:e800"),MATCH($A58&amp;H$1,INDIRECT("Pianificazione!c1:c800")&amp;INDIRECT("Pianificazione!a1:a800"),0)),"hh:mm"),"")&amp;"-"&amp;IFERROR(TEXT(INDEX(INDIRECT("Pianificazione!f1:f800"),MATCH($A58&amp;H$1,INDIRECT("Pianificazione!c1:c800")&amp;INDIRECT("Pianificazione!a1:a800"),0)),"hh:mm"),"")="-","Riposo",IFERROR(TEXT(INDEX(INDIRECT("Pianificazione!e1:e800"),MATCH($A58&amp;H$1,INDIRECT("Pianificazione!c1:c800")&amp;INDIRECT("Pianificazione!a1:a800"),0)),"hh:mm"),"")&amp;"-"&amp;IFERROR(TEXT(INDEX(INDIRECT("Pianificazione!f1:f800"),MATCH($A58&amp;H$1,INDIRECT("Pianificazione!c1:c800")&amp;INDIRECT("Pianificazione!a1:a800"),0)),"hh:mm"),""))</f>
        <v>Riposo</v>
      </c>
    </row>
    <row r="59" spans="1:8">
      <c r="A59" t="str">
        <f>+Risorse!B59</f>
        <v>Ursini Maria Teresa</v>
      </c>
      <c r="B59" s="15" t="str" cm="1">
        <f t="array" aca="1" ref="B59" ca="1">+IF(IFERROR(TEXT(INDEX(INDIRECT("Pianificazione!e1:e800"),MATCH($A59&amp;B$1,INDIRECT("Pianificazione!c1:c800")&amp;INDIRECT("Pianificazione!a1:a800"),0)),"hh:mm"),"")&amp;"-"&amp;IFERROR(TEXT(INDEX(INDIRECT("Pianificazione!f1:f800"),MATCH($A59&amp;B$1,INDIRECT("Pianificazione!c1:c800")&amp;INDIRECT("Pianificazione!a1:a800"),0)),"hh:mm"),"")="-","Riposo",IFERROR(TEXT(INDEX(INDIRECT("Pianificazione!e1:e800"),MATCH($A59&amp;B$1,INDIRECT("Pianificazione!c1:c800")&amp;INDIRECT("Pianificazione!a1:a800"),0)),"hh:mm"),"")&amp;"-"&amp;IFERROR(TEXT(INDEX(INDIRECT("Pianificazione!f1:f800"),MATCH($A59&amp;B$1,INDIRECT("Pianificazione!c1:c800")&amp;INDIRECT("Pianificazione!a1:a800"),0)),"hh:mm"),""))</f>
        <v>Riposo</v>
      </c>
      <c r="C59" s="15" t="str" cm="1">
        <f t="array" aca="1" ref="C59" ca="1">+IF(IFERROR(TEXT(INDEX(INDIRECT("Pianificazione!e1:e800"),MATCH($A59&amp;C$1,INDIRECT("Pianificazione!c1:c800")&amp;INDIRECT("Pianificazione!a1:a800"),0)),"hh:mm"),"")&amp;"-"&amp;IFERROR(TEXT(INDEX(INDIRECT("Pianificazione!f1:f800"),MATCH($A59&amp;C$1,INDIRECT("Pianificazione!c1:c800")&amp;INDIRECT("Pianificazione!a1:a800"),0)),"hh:mm"),"")="-","Riposo",IFERROR(TEXT(INDEX(INDIRECT("Pianificazione!e1:e800"),MATCH($A59&amp;C$1,INDIRECT("Pianificazione!c1:c800")&amp;INDIRECT("Pianificazione!a1:a800"),0)),"hh:mm"),"")&amp;"-"&amp;IFERROR(TEXT(INDEX(INDIRECT("Pianificazione!f1:f800"),MATCH($A59&amp;C$1,INDIRECT("Pianificazione!c1:c800")&amp;INDIRECT("Pianificazione!a1:a800"),0)),"hh:mm"),""))</f>
        <v>Riposo</v>
      </c>
      <c r="D59" s="15" t="str" cm="1">
        <f t="array" aca="1" ref="D59" ca="1">+IF(IFERROR(TEXT(INDEX(INDIRECT("Pianificazione!e1:e800"),MATCH($A59&amp;D$1,INDIRECT("Pianificazione!c1:c800")&amp;INDIRECT("Pianificazione!a1:a800"),0)),"hh:mm"),"")&amp;"-"&amp;IFERROR(TEXT(INDEX(INDIRECT("Pianificazione!f1:f800"),MATCH($A59&amp;D$1,INDIRECT("Pianificazione!c1:c800")&amp;INDIRECT("Pianificazione!a1:a800"),0)),"hh:mm"),"")="-","Riposo",IFERROR(TEXT(INDEX(INDIRECT("Pianificazione!e1:e800"),MATCH($A59&amp;D$1,INDIRECT("Pianificazione!c1:c800")&amp;INDIRECT("Pianificazione!a1:a800"),0)),"hh:mm"),"")&amp;"-"&amp;IFERROR(TEXT(INDEX(INDIRECT("Pianificazione!f1:f800"),MATCH($A59&amp;D$1,INDIRECT("Pianificazione!c1:c800")&amp;INDIRECT("Pianificazione!a1:a800"),0)),"hh:mm"),""))</f>
        <v>Riposo</v>
      </c>
      <c r="E59" s="15" t="str" cm="1">
        <f t="array" aca="1" ref="E59" ca="1">+IF(IFERROR(TEXT(INDEX(INDIRECT("Pianificazione!e1:e800"),MATCH($A59&amp;E$1,INDIRECT("Pianificazione!c1:c800")&amp;INDIRECT("Pianificazione!a1:a800"),0)),"hh:mm"),"")&amp;"-"&amp;IFERROR(TEXT(INDEX(INDIRECT("Pianificazione!f1:f800"),MATCH($A59&amp;E$1,INDIRECT("Pianificazione!c1:c800")&amp;INDIRECT("Pianificazione!a1:a800"),0)),"hh:mm"),"")="-","Riposo",IFERROR(TEXT(INDEX(INDIRECT("Pianificazione!e1:e800"),MATCH($A59&amp;E$1,INDIRECT("Pianificazione!c1:c800")&amp;INDIRECT("Pianificazione!a1:a800"),0)),"hh:mm"),"")&amp;"-"&amp;IFERROR(TEXT(INDEX(INDIRECT("Pianificazione!f1:f800"),MATCH($A59&amp;E$1,INDIRECT("Pianificazione!c1:c800")&amp;INDIRECT("Pianificazione!a1:a800"),0)),"hh:mm"),""))</f>
        <v>Riposo</v>
      </c>
      <c r="F59" s="15" t="str" cm="1">
        <f t="array" aca="1" ref="F59" ca="1">+IF(IFERROR(TEXT(INDEX(INDIRECT("Pianificazione!e1:e800"),MATCH($A59&amp;F$1,INDIRECT("Pianificazione!c1:c800")&amp;INDIRECT("Pianificazione!a1:a800"),0)),"hh:mm"),"")&amp;"-"&amp;IFERROR(TEXT(INDEX(INDIRECT("Pianificazione!f1:f800"),MATCH($A59&amp;F$1,INDIRECT("Pianificazione!c1:c800")&amp;INDIRECT("Pianificazione!a1:a800"),0)),"hh:mm"),"")="-","Riposo",IFERROR(TEXT(INDEX(INDIRECT("Pianificazione!e1:e800"),MATCH($A59&amp;F$1,INDIRECT("Pianificazione!c1:c800")&amp;INDIRECT("Pianificazione!a1:a800"),0)),"hh:mm"),"")&amp;"-"&amp;IFERROR(TEXT(INDEX(INDIRECT("Pianificazione!f1:f800"),MATCH($A59&amp;F$1,INDIRECT("Pianificazione!c1:c800")&amp;INDIRECT("Pianificazione!a1:a800"),0)),"hh:mm"),""))</f>
        <v>Riposo</v>
      </c>
      <c r="G59" s="15" t="str" cm="1">
        <f t="array" aca="1" ref="G59" ca="1">+IF(IFERROR(TEXT(INDEX(INDIRECT("Pianificazione!e1:e800"),MATCH($A59&amp;G$1,INDIRECT("Pianificazione!c1:c800")&amp;INDIRECT("Pianificazione!a1:a800"),0)),"hh:mm"),"")&amp;"-"&amp;IFERROR(TEXT(INDEX(INDIRECT("Pianificazione!f1:f800"),MATCH($A59&amp;G$1,INDIRECT("Pianificazione!c1:c800")&amp;INDIRECT("Pianificazione!a1:a800"),0)),"hh:mm"),"")="-","Riposo",IFERROR(TEXT(INDEX(INDIRECT("Pianificazione!e1:e800"),MATCH($A59&amp;G$1,INDIRECT("Pianificazione!c1:c800")&amp;INDIRECT("Pianificazione!a1:a800"),0)),"hh:mm"),"")&amp;"-"&amp;IFERROR(TEXT(INDEX(INDIRECT("Pianificazione!f1:f800"),MATCH($A59&amp;G$1,INDIRECT("Pianificazione!c1:c800")&amp;INDIRECT("Pianificazione!a1:a800"),0)),"hh:mm"),""))</f>
        <v>Riposo</v>
      </c>
      <c r="H59" s="15" t="str" cm="1">
        <f t="array" aca="1" ref="H59" ca="1">+IF(IFERROR(TEXT(INDEX(INDIRECT("Pianificazione!e1:e800"),MATCH($A59&amp;H$1,INDIRECT("Pianificazione!c1:c800")&amp;INDIRECT("Pianificazione!a1:a800"),0)),"hh:mm"),"")&amp;"-"&amp;IFERROR(TEXT(INDEX(INDIRECT("Pianificazione!f1:f800"),MATCH($A59&amp;H$1,INDIRECT("Pianificazione!c1:c800")&amp;INDIRECT("Pianificazione!a1:a800"),0)),"hh:mm"),"")="-","Riposo",IFERROR(TEXT(INDEX(INDIRECT("Pianificazione!e1:e800"),MATCH($A59&amp;H$1,INDIRECT("Pianificazione!c1:c800")&amp;INDIRECT("Pianificazione!a1:a800"),0)),"hh:mm"),"")&amp;"-"&amp;IFERROR(TEXT(INDEX(INDIRECT("Pianificazione!f1:f800"),MATCH($A59&amp;H$1,INDIRECT("Pianificazione!c1:c800")&amp;INDIRECT("Pianificazione!a1:a800"),0)),"hh:mm"),""))</f>
        <v>Riposo</v>
      </c>
    </row>
    <row r="60" spans="1:8">
      <c r="A60" t="str">
        <f>+Risorse!B60</f>
        <v>Vaglica Debora</v>
      </c>
      <c r="B60" s="15" t="str" cm="1">
        <f t="array" aca="1" ref="B60" ca="1">+IF(IFERROR(TEXT(INDEX(INDIRECT("Pianificazione!e1:e800"),MATCH($A60&amp;B$1,INDIRECT("Pianificazione!c1:c800")&amp;INDIRECT("Pianificazione!a1:a800"),0)),"hh:mm"),"")&amp;"-"&amp;IFERROR(TEXT(INDEX(INDIRECT("Pianificazione!f1:f800"),MATCH($A60&amp;B$1,INDIRECT("Pianificazione!c1:c800")&amp;INDIRECT("Pianificazione!a1:a800"),0)),"hh:mm"),"")="-","Riposo",IFERROR(TEXT(INDEX(INDIRECT("Pianificazione!e1:e800"),MATCH($A60&amp;B$1,INDIRECT("Pianificazione!c1:c800")&amp;INDIRECT("Pianificazione!a1:a800"),0)),"hh:mm"),"")&amp;"-"&amp;IFERROR(TEXT(INDEX(INDIRECT("Pianificazione!f1:f800"),MATCH($A60&amp;B$1,INDIRECT("Pianificazione!c1:c800")&amp;INDIRECT("Pianificazione!a1:a800"),0)),"hh:mm"),""))</f>
        <v>Riposo</v>
      </c>
      <c r="C60" s="15" t="str" cm="1">
        <f t="array" aca="1" ref="C60" ca="1">+IF(IFERROR(TEXT(INDEX(INDIRECT("Pianificazione!e1:e800"),MATCH($A60&amp;C$1,INDIRECT("Pianificazione!c1:c800")&amp;INDIRECT("Pianificazione!a1:a800"),0)),"hh:mm"),"")&amp;"-"&amp;IFERROR(TEXT(INDEX(INDIRECT("Pianificazione!f1:f800"),MATCH($A60&amp;C$1,INDIRECT("Pianificazione!c1:c800")&amp;INDIRECT("Pianificazione!a1:a800"),0)),"hh:mm"),"")="-","Riposo",IFERROR(TEXT(INDEX(INDIRECT("Pianificazione!e1:e800"),MATCH($A60&amp;C$1,INDIRECT("Pianificazione!c1:c800")&amp;INDIRECT("Pianificazione!a1:a800"),0)),"hh:mm"),"")&amp;"-"&amp;IFERROR(TEXT(INDEX(INDIRECT("Pianificazione!f1:f800"),MATCH($A60&amp;C$1,INDIRECT("Pianificazione!c1:c800")&amp;INDIRECT("Pianificazione!a1:a800"),0)),"hh:mm"),""))</f>
        <v>Riposo</v>
      </c>
      <c r="D60" s="15" t="str" cm="1">
        <f t="array" aca="1" ref="D60" ca="1">+IF(IFERROR(TEXT(INDEX(INDIRECT("Pianificazione!e1:e800"),MATCH($A60&amp;D$1,INDIRECT("Pianificazione!c1:c800")&amp;INDIRECT("Pianificazione!a1:a800"),0)),"hh:mm"),"")&amp;"-"&amp;IFERROR(TEXT(INDEX(INDIRECT("Pianificazione!f1:f800"),MATCH($A60&amp;D$1,INDIRECT("Pianificazione!c1:c800")&amp;INDIRECT("Pianificazione!a1:a800"),0)),"hh:mm"),"")="-","Riposo",IFERROR(TEXT(INDEX(INDIRECT("Pianificazione!e1:e800"),MATCH($A60&amp;D$1,INDIRECT("Pianificazione!c1:c800")&amp;INDIRECT("Pianificazione!a1:a800"),0)),"hh:mm"),"")&amp;"-"&amp;IFERROR(TEXT(INDEX(INDIRECT("Pianificazione!f1:f800"),MATCH($A60&amp;D$1,INDIRECT("Pianificazione!c1:c800")&amp;INDIRECT("Pianificazione!a1:a800"),0)),"hh:mm"),""))</f>
        <v>Riposo</v>
      </c>
      <c r="E60" s="15" t="str" cm="1">
        <f t="array" aca="1" ref="E60" ca="1">+IF(IFERROR(TEXT(INDEX(INDIRECT("Pianificazione!e1:e800"),MATCH($A60&amp;E$1,INDIRECT("Pianificazione!c1:c800")&amp;INDIRECT("Pianificazione!a1:a800"),0)),"hh:mm"),"")&amp;"-"&amp;IFERROR(TEXT(INDEX(INDIRECT("Pianificazione!f1:f800"),MATCH($A60&amp;E$1,INDIRECT("Pianificazione!c1:c800")&amp;INDIRECT("Pianificazione!a1:a800"),0)),"hh:mm"),"")="-","Riposo",IFERROR(TEXT(INDEX(INDIRECT("Pianificazione!e1:e800"),MATCH($A60&amp;E$1,INDIRECT("Pianificazione!c1:c800")&amp;INDIRECT("Pianificazione!a1:a800"),0)),"hh:mm"),"")&amp;"-"&amp;IFERROR(TEXT(INDEX(INDIRECT("Pianificazione!f1:f800"),MATCH($A60&amp;E$1,INDIRECT("Pianificazione!c1:c800")&amp;INDIRECT("Pianificazione!a1:a800"),0)),"hh:mm"),""))</f>
        <v>Riposo</v>
      </c>
      <c r="F60" s="15" t="str" cm="1">
        <f t="array" aca="1" ref="F60" ca="1">+IF(IFERROR(TEXT(INDEX(INDIRECT("Pianificazione!e1:e800"),MATCH($A60&amp;F$1,INDIRECT("Pianificazione!c1:c800")&amp;INDIRECT("Pianificazione!a1:a800"),0)),"hh:mm"),"")&amp;"-"&amp;IFERROR(TEXT(INDEX(INDIRECT("Pianificazione!f1:f800"),MATCH($A60&amp;F$1,INDIRECT("Pianificazione!c1:c800")&amp;INDIRECT("Pianificazione!a1:a800"),0)),"hh:mm"),"")="-","Riposo",IFERROR(TEXT(INDEX(INDIRECT("Pianificazione!e1:e800"),MATCH($A60&amp;F$1,INDIRECT("Pianificazione!c1:c800")&amp;INDIRECT("Pianificazione!a1:a800"),0)),"hh:mm"),"")&amp;"-"&amp;IFERROR(TEXT(INDEX(INDIRECT("Pianificazione!f1:f800"),MATCH($A60&amp;F$1,INDIRECT("Pianificazione!c1:c800")&amp;INDIRECT("Pianificazione!a1:a800"),0)),"hh:mm"),""))</f>
        <v>Riposo</v>
      </c>
      <c r="G60" s="15" t="str" cm="1">
        <f t="array" aca="1" ref="G60" ca="1">+IF(IFERROR(TEXT(INDEX(INDIRECT("Pianificazione!e1:e800"),MATCH($A60&amp;G$1,INDIRECT("Pianificazione!c1:c800")&amp;INDIRECT("Pianificazione!a1:a800"),0)),"hh:mm"),"")&amp;"-"&amp;IFERROR(TEXT(INDEX(INDIRECT("Pianificazione!f1:f800"),MATCH($A60&amp;G$1,INDIRECT("Pianificazione!c1:c800")&amp;INDIRECT("Pianificazione!a1:a800"),0)),"hh:mm"),"")="-","Riposo",IFERROR(TEXT(INDEX(INDIRECT("Pianificazione!e1:e800"),MATCH($A60&amp;G$1,INDIRECT("Pianificazione!c1:c800")&amp;INDIRECT("Pianificazione!a1:a800"),0)),"hh:mm"),"")&amp;"-"&amp;IFERROR(TEXT(INDEX(INDIRECT("Pianificazione!f1:f800"),MATCH($A60&amp;G$1,INDIRECT("Pianificazione!c1:c800")&amp;INDIRECT("Pianificazione!a1:a800"),0)),"hh:mm"),""))</f>
        <v>Riposo</v>
      </c>
      <c r="H60" s="15" t="str" cm="1">
        <f t="array" aca="1" ref="H60" ca="1">+IF(IFERROR(TEXT(INDEX(INDIRECT("Pianificazione!e1:e800"),MATCH($A60&amp;H$1,INDIRECT("Pianificazione!c1:c800")&amp;INDIRECT("Pianificazione!a1:a800"),0)),"hh:mm"),"")&amp;"-"&amp;IFERROR(TEXT(INDEX(INDIRECT("Pianificazione!f1:f800"),MATCH($A60&amp;H$1,INDIRECT("Pianificazione!c1:c800")&amp;INDIRECT("Pianificazione!a1:a800"),0)),"hh:mm"),"")="-","Riposo",IFERROR(TEXT(INDEX(INDIRECT("Pianificazione!e1:e800"),MATCH($A60&amp;H$1,INDIRECT("Pianificazione!c1:c800")&amp;INDIRECT("Pianificazione!a1:a800"),0)),"hh:mm"),"")&amp;"-"&amp;IFERROR(TEXT(INDEX(INDIRECT("Pianificazione!f1:f800"),MATCH($A60&amp;H$1,INDIRECT("Pianificazione!c1:c800")&amp;INDIRECT("Pianificazione!a1:a800"),0)),"hh:mm"),""))</f>
        <v>Riposo</v>
      </c>
    </row>
    <row r="61" spans="1:8">
      <c r="A61" t="str">
        <f>+Risorse!B61</f>
        <v>Zisa Rosa</v>
      </c>
      <c r="B61" s="15" t="str" cm="1">
        <f t="array" aca="1" ref="B61" ca="1">+IF(IFERROR(TEXT(INDEX(INDIRECT("Pianificazione!e1:e800"),MATCH($A61&amp;B$1,INDIRECT("Pianificazione!c1:c800")&amp;INDIRECT("Pianificazione!a1:a800"),0)),"hh:mm"),"")&amp;"-"&amp;IFERROR(TEXT(INDEX(INDIRECT("Pianificazione!f1:f800"),MATCH($A61&amp;B$1,INDIRECT("Pianificazione!c1:c800")&amp;INDIRECT("Pianificazione!a1:a800"),0)),"hh:mm"),"")="-","Riposo",IFERROR(TEXT(INDEX(INDIRECT("Pianificazione!e1:e800"),MATCH($A61&amp;B$1,INDIRECT("Pianificazione!c1:c800")&amp;INDIRECT("Pianificazione!a1:a800"),0)),"hh:mm"),"")&amp;"-"&amp;IFERROR(TEXT(INDEX(INDIRECT("Pianificazione!f1:f800"),MATCH($A61&amp;B$1,INDIRECT("Pianificazione!c1:c800")&amp;INDIRECT("Pianificazione!a1:a800"),0)),"hh:mm"),""))</f>
        <v>Riposo</v>
      </c>
      <c r="C61" s="15" t="str" cm="1">
        <f t="array" aca="1" ref="C61" ca="1">+IF(IFERROR(TEXT(INDEX(INDIRECT("Pianificazione!e1:e800"),MATCH($A61&amp;C$1,INDIRECT("Pianificazione!c1:c800")&amp;INDIRECT("Pianificazione!a1:a800"),0)),"hh:mm"),"")&amp;"-"&amp;IFERROR(TEXT(INDEX(INDIRECT("Pianificazione!f1:f800"),MATCH($A61&amp;C$1,INDIRECT("Pianificazione!c1:c800")&amp;INDIRECT("Pianificazione!a1:a800"),0)),"hh:mm"),"")="-","Riposo",IFERROR(TEXT(INDEX(INDIRECT("Pianificazione!e1:e800"),MATCH($A61&amp;C$1,INDIRECT("Pianificazione!c1:c800")&amp;INDIRECT("Pianificazione!a1:a800"),0)),"hh:mm"),"")&amp;"-"&amp;IFERROR(TEXT(INDEX(INDIRECT("Pianificazione!f1:f800"),MATCH($A61&amp;C$1,INDIRECT("Pianificazione!c1:c800")&amp;INDIRECT("Pianificazione!a1:a800"),0)),"hh:mm"),""))</f>
        <v>Riposo</v>
      </c>
      <c r="D61" s="15" t="str" cm="1">
        <f t="array" aca="1" ref="D61" ca="1">+IF(IFERROR(TEXT(INDEX(INDIRECT("Pianificazione!e1:e800"),MATCH($A61&amp;D$1,INDIRECT("Pianificazione!c1:c800")&amp;INDIRECT("Pianificazione!a1:a800"),0)),"hh:mm"),"")&amp;"-"&amp;IFERROR(TEXT(INDEX(INDIRECT("Pianificazione!f1:f800"),MATCH($A61&amp;D$1,INDIRECT("Pianificazione!c1:c800")&amp;INDIRECT("Pianificazione!a1:a800"),0)),"hh:mm"),"")="-","Riposo",IFERROR(TEXT(INDEX(INDIRECT("Pianificazione!e1:e800"),MATCH($A61&amp;D$1,INDIRECT("Pianificazione!c1:c800")&amp;INDIRECT("Pianificazione!a1:a800"),0)),"hh:mm"),"")&amp;"-"&amp;IFERROR(TEXT(INDEX(INDIRECT("Pianificazione!f1:f800"),MATCH($A61&amp;D$1,INDIRECT("Pianificazione!c1:c800")&amp;INDIRECT("Pianificazione!a1:a800"),0)),"hh:mm"),""))</f>
        <v>Riposo</v>
      </c>
      <c r="E61" s="15" t="str" cm="1">
        <f t="array" aca="1" ref="E61" ca="1">+IF(IFERROR(TEXT(INDEX(INDIRECT("Pianificazione!e1:e800"),MATCH($A61&amp;E$1,INDIRECT("Pianificazione!c1:c800")&amp;INDIRECT("Pianificazione!a1:a800"),0)),"hh:mm"),"")&amp;"-"&amp;IFERROR(TEXT(INDEX(INDIRECT("Pianificazione!f1:f800"),MATCH($A61&amp;E$1,INDIRECT("Pianificazione!c1:c800")&amp;INDIRECT("Pianificazione!a1:a800"),0)),"hh:mm"),"")="-","Riposo",IFERROR(TEXT(INDEX(INDIRECT("Pianificazione!e1:e800"),MATCH($A61&amp;E$1,INDIRECT("Pianificazione!c1:c800")&amp;INDIRECT("Pianificazione!a1:a800"),0)),"hh:mm"),"")&amp;"-"&amp;IFERROR(TEXT(INDEX(INDIRECT("Pianificazione!f1:f800"),MATCH($A61&amp;E$1,INDIRECT("Pianificazione!c1:c800")&amp;INDIRECT("Pianificazione!a1:a800"),0)),"hh:mm"),""))</f>
        <v>Riposo</v>
      </c>
      <c r="F61" s="15" t="str" cm="1">
        <f t="array" aca="1" ref="F61" ca="1">+IF(IFERROR(TEXT(INDEX(INDIRECT("Pianificazione!e1:e800"),MATCH($A61&amp;F$1,INDIRECT("Pianificazione!c1:c800")&amp;INDIRECT("Pianificazione!a1:a800"),0)),"hh:mm"),"")&amp;"-"&amp;IFERROR(TEXT(INDEX(INDIRECT("Pianificazione!f1:f800"),MATCH($A61&amp;F$1,INDIRECT("Pianificazione!c1:c800")&amp;INDIRECT("Pianificazione!a1:a800"),0)),"hh:mm"),"")="-","Riposo",IFERROR(TEXT(INDEX(INDIRECT("Pianificazione!e1:e800"),MATCH($A61&amp;F$1,INDIRECT("Pianificazione!c1:c800")&amp;INDIRECT("Pianificazione!a1:a800"),0)),"hh:mm"),"")&amp;"-"&amp;IFERROR(TEXT(INDEX(INDIRECT("Pianificazione!f1:f800"),MATCH($A61&amp;F$1,INDIRECT("Pianificazione!c1:c800")&amp;INDIRECT("Pianificazione!a1:a800"),0)),"hh:mm"),""))</f>
        <v>Riposo</v>
      </c>
      <c r="G61" s="15" t="str" cm="1">
        <f t="array" aca="1" ref="G61" ca="1">+IF(IFERROR(TEXT(INDEX(INDIRECT("Pianificazione!e1:e800"),MATCH($A61&amp;G$1,INDIRECT("Pianificazione!c1:c800")&amp;INDIRECT("Pianificazione!a1:a800"),0)),"hh:mm"),"")&amp;"-"&amp;IFERROR(TEXT(INDEX(INDIRECT("Pianificazione!f1:f800"),MATCH($A61&amp;G$1,INDIRECT("Pianificazione!c1:c800")&amp;INDIRECT("Pianificazione!a1:a800"),0)),"hh:mm"),"")="-","Riposo",IFERROR(TEXT(INDEX(INDIRECT("Pianificazione!e1:e800"),MATCH($A61&amp;G$1,INDIRECT("Pianificazione!c1:c800")&amp;INDIRECT("Pianificazione!a1:a800"),0)),"hh:mm"),"")&amp;"-"&amp;IFERROR(TEXT(INDEX(INDIRECT("Pianificazione!f1:f800"),MATCH($A61&amp;G$1,INDIRECT("Pianificazione!c1:c800")&amp;INDIRECT("Pianificazione!a1:a800"),0)),"hh:mm"),""))</f>
        <v>Riposo</v>
      </c>
      <c r="H61" s="15" t="str" cm="1">
        <f t="array" aca="1" ref="H61" ca="1">+IF(IFERROR(TEXT(INDEX(INDIRECT("Pianificazione!e1:e800"),MATCH($A61&amp;H$1,INDIRECT("Pianificazione!c1:c800")&amp;INDIRECT("Pianificazione!a1:a800"),0)),"hh:mm"),"")&amp;"-"&amp;IFERROR(TEXT(INDEX(INDIRECT("Pianificazione!f1:f800"),MATCH($A61&amp;H$1,INDIRECT("Pianificazione!c1:c800")&amp;INDIRECT("Pianificazione!a1:a800"),0)),"hh:mm"),"")="-","Riposo",IFERROR(TEXT(INDEX(INDIRECT("Pianificazione!e1:e800"),MATCH($A61&amp;H$1,INDIRECT("Pianificazione!c1:c800")&amp;INDIRECT("Pianificazione!a1:a800"),0)),"hh:mm"),"")&amp;"-"&amp;IFERROR(TEXT(INDEX(INDIRECT("Pianificazione!f1:f800"),MATCH($A61&amp;H$1,INDIRECT("Pianificazione!c1:c800")&amp;INDIRECT("Pianificazione!a1:a800"),0)),"hh:mm"),""))</f>
        <v>Riposo</v>
      </c>
    </row>
    <row r="62" spans="1:8">
      <c r="A62" t="str">
        <f>+Risorse!B62</f>
        <v>vicari marco</v>
      </c>
      <c r="B62" s="15" t="str" cm="1">
        <f t="array" aca="1" ref="B62" ca="1">+IF(IFERROR(TEXT(INDEX(INDIRECT("Pianificazione!e1:e800"),MATCH($A62&amp;B$1,INDIRECT("Pianificazione!c1:c800")&amp;INDIRECT("Pianificazione!a1:a800"),0)),"hh:mm"),"")&amp;"-"&amp;IFERROR(TEXT(INDEX(INDIRECT("Pianificazione!f1:f800"),MATCH($A62&amp;B$1,INDIRECT("Pianificazione!c1:c800")&amp;INDIRECT("Pianificazione!a1:a800"),0)),"hh:mm"),"")="-","Riposo",IFERROR(TEXT(INDEX(INDIRECT("Pianificazione!e1:e800"),MATCH($A62&amp;B$1,INDIRECT("Pianificazione!c1:c800")&amp;INDIRECT("Pianificazione!a1:a800"),0)),"hh:mm"),"")&amp;"-"&amp;IFERROR(TEXT(INDEX(INDIRECT("Pianificazione!f1:f800"),MATCH($A62&amp;B$1,INDIRECT("Pianificazione!c1:c800")&amp;INDIRECT("Pianificazione!a1:a800"),0)),"hh:mm"),""))</f>
        <v>Riposo</v>
      </c>
      <c r="C62" s="15" t="str" cm="1">
        <f t="array" aca="1" ref="C62" ca="1">+IF(IFERROR(TEXT(INDEX(INDIRECT("Pianificazione!e1:e800"),MATCH($A62&amp;C$1,INDIRECT("Pianificazione!c1:c800")&amp;INDIRECT("Pianificazione!a1:a800"),0)),"hh:mm"),"")&amp;"-"&amp;IFERROR(TEXT(INDEX(INDIRECT("Pianificazione!f1:f800"),MATCH($A62&amp;C$1,INDIRECT("Pianificazione!c1:c800")&amp;INDIRECT("Pianificazione!a1:a800"),0)),"hh:mm"),"")="-","Riposo",IFERROR(TEXT(INDEX(INDIRECT("Pianificazione!e1:e800"),MATCH($A62&amp;C$1,INDIRECT("Pianificazione!c1:c800")&amp;INDIRECT("Pianificazione!a1:a800"),0)),"hh:mm"),"")&amp;"-"&amp;IFERROR(TEXT(INDEX(INDIRECT("Pianificazione!f1:f800"),MATCH($A62&amp;C$1,INDIRECT("Pianificazione!c1:c800")&amp;INDIRECT("Pianificazione!a1:a800"),0)),"hh:mm"),""))</f>
        <v>Riposo</v>
      </c>
      <c r="D62" s="15" t="str" cm="1">
        <f t="array" aca="1" ref="D62" ca="1">+IF(IFERROR(TEXT(INDEX(INDIRECT("Pianificazione!e1:e800"),MATCH($A62&amp;D$1,INDIRECT("Pianificazione!c1:c800")&amp;INDIRECT("Pianificazione!a1:a800"),0)),"hh:mm"),"")&amp;"-"&amp;IFERROR(TEXT(INDEX(INDIRECT("Pianificazione!f1:f800"),MATCH($A62&amp;D$1,INDIRECT("Pianificazione!c1:c800")&amp;INDIRECT("Pianificazione!a1:a800"),0)),"hh:mm"),"")="-","Riposo",IFERROR(TEXT(INDEX(INDIRECT("Pianificazione!e1:e800"),MATCH($A62&amp;D$1,INDIRECT("Pianificazione!c1:c800")&amp;INDIRECT("Pianificazione!a1:a800"),0)),"hh:mm"),"")&amp;"-"&amp;IFERROR(TEXT(INDEX(INDIRECT("Pianificazione!f1:f800"),MATCH($A62&amp;D$1,INDIRECT("Pianificazione!c1:c800")&amp;INDIRECT("Pianificazione!a1:a800"),0)),"hh:mm"),""))</f>
        <v>Riposo</v>
      </c>
      <c r="E62" s="15" t="str" cm="1">
        <f t="array" aca="1" ref="E62" ca="1">+IF(IFERROR(TEXT(INDEX(INDIRECT("Pianificazione!e1:e800"),MATCH($A62&amp;E$1,INDIRECT("Pianificazione!c1:c800")&amp;INDIRECT("Pianificazione!a1:a800"),0)),"hh:mm"),"")&amp;"-"&amp;IFERROR(TEXT(INDEX(INDIRECT("Pianificazione!f1:f800"),MATCH($A62&amp;E$1,INDIRECT("Pianificazione!c1:c800")&amp;INDIRECT("Pianificazione!a1:a800"),0)),"hh:mm"),"")="-","Riposo",IFERROR(TEXT(INDEX(INDIRECT("Pianificazione!e1:e800"),MATCH($A62&amp;E$1,INDIRECT("Pianificazione!c1:c800")&amp;INDIRECT("Pianificazione!a1:a800"),0)),"hh:mm"),"")&amp;"-"&amp;IFERROR(TEXT(INDEX(INDIRECT("Pianificazione!f1:f800"),MATCH($A62&amp;E$1,INDIRECT("Pianificazione!c1:c800")&amp;INDIRECT("Pianificazione!a1:a800"),0)),"hh:mm"),""))</f>
        <v>Riposo</v>
      </c>
      <c r="F62" s="15" t="str" cm="1">
        <f t="array" aca="1" ref="F62" ca="1">+IF(IFERROR(TEXT(INDEX(INDIRECT("Pianificazione!e1:e800"),MATCH($A62&amp;F$1,INDIRECT("Pianificazione!c1:c800")&amp;INDIRECT("Pianificazione!a1:a800"),0)),"hh:mm"),"")&amp;"-"&amp;IFERROR(TEXT(INDEX(INDIRECT("Pianificazione!f1:f800"),MATCH($A62&amp;F$1,INDIRECT("Pianificazione!c1:c800")&amp;INDIRECT("Pianificazione!a1:a800"),0)),"hh:mm"),"")="-","Riposo",IFERROR(TEXT(INDEX(INDIRECT("Pianificazione!e1:e800"),MATCH($A62&amp;F$1,INDIRECT("Pianificazione!c1:c800")&amp;INDIRECT("Pianificazione!a1:a800"),0)),"hh:mm"),"")&amp;"-"&amp;IFERROR(TEXT(INDEX(INDIRECT("Pianificazione!f1:f800"),MATCH($A62&amp;F$1,INDIRECT("Pianificazione!c1:c800")&amp;INDIRECT("Pianificazione!a1:a800"),0)),"hh:mm"),""))</f>
        <v>Riposo</v>
      </c>
      <c r="G62" s="15" t="str" cm="1">
        <f t="array" aca="1" ref="G62" ca="1">+IF(IFERROR(TEXT(INDEX(INDIRECT("Pianificazione!e1:e800"),MATCH($A62&amp;G$1,INDIRECT("Pianificazione!c1:c800")&amp;INDIRECT("Pianificazione!a1:a800"),0)),"hh:mm"),"")&amp;"-"&amp;IFERROR(TEXT(INDEX(INDIRECT("Pianificazione!f1:f800"),MATCH($A62&amp;G$1,INDIRECT("Pianificazione!c1:c800")&amp;INDIRECT("Pianificazione!a1:a800"),0)),"hh:mm"),"")="-","Riposo",IFERROR(TEXT(INDEX(INDIRECT("Pianificazione!e1:e800"),MATCH($A62&amp;G$1,INDIRECT("Pianificazione!c1:c800")&amp;INDIRECT("Pianificazione!a1:a800"),0)),"hh:mm"),"")&amp;"-"&amp;IFERROR(TEXT(INDEX(INDIRECT("Pianificazione!f1:f800"),MATCH($A62&amp;G$1,INDIRECT("Pianificazione!c1:c800")&amp;INDIRECT("Pianificazione!a1:a800"),0)),"hh:mm"),""))</f>
        <v>Riposo</v>
      </c>
      <c r="H62" s="15" t="str" cm="1">
        <f t="array" aca="1" ref="H62" ca="1">+IF(IFERROR(TEXT(INDEX(INDIRECT("Pianificazione!e1:e800"),MATCH($A62&amp;H$1,INDIRECT("Pianificazione!c1:c800")&amp;INDIRECT("Pianificazione!a1:a800"),0)),"hh:mm"),"")&amp;"-"&amp;IFERROR(TEXT(INDEX(INDIRECT("Pianificazione!f1:f800"),MATCH($A62&amp;H$1,INDIRECT("Pianificazione!c1:c800")&amp;INDIRECT("Pianificazione!a1:a800"),0)),"hh:mm"),"")="-","Riposo",IFERROR(TEXT(INDEX(INDIRECT("Pianificazione!e1:e800"),MATCH($A62&amp;H$1,INDIRECT("Pianificazione!c1:c800")&amp;INDIRECT("Pianificazione!a1:a800"),0)),"hh:mm"),"")&amp;"-"&amp;IFERROR(TEXT(INDEX(INDIRECT("Pianificazione!f1:f800"),MATCH($A62&amp;H$1,INDIRECT("Pianificazione!c1:c800")&amp;INDIRECT("Pianificazione!a1:a800"),0)),"hh:mm"),""))</f>
        <v>Riposo</v>
      </c>
    </row>
    <row r="63" spans="1:8">
      <c r="A63" t="str">
        <f>+Risorse!B63</f>
        <v>Ianniello Sabrina</v>
      </c>
      <c r="B63" s="15" t="str" cm="1">
        <f t="array" aca="1" ref="B63" ca="1">+IF(IFERROR(TEXT(INDEX(INDIRECT("Pianificazione!e1:e800"),MATCH($A63&amp;B$1,INDIRECT("Pianificazione!c1:c800")&amp;INDIRECT("Pianificazione!a1:a800"),0)),"hh:mm"),"")&amp;"-"&amp;IFERROR(TEXT(INDEX(INDIRECT("Pianificazione!f1:f800"),MATCH($A63&amp;B$1,INDIRECT("Pianificazione!c1:c800")&amp;INDIRECT("Pianificazione!a1:a800"),0)),"hh:mm"),"")="-","Riposo",IFERROR(TEXT(INDEX(INDIRECT("Pianificazione!e1:e800"),MATCH($A63&amp;B$1,INDIRECT("Pianificazione!c1:c800")&amp;INDIRECT("Pianificazione!a1:a800"),0)),"hh:mm"),"")&amp;"-"&amp;IFERROR(TEXT(INDEX(INDIRECT("Pianificazione!f1:f800"),MATCH($A63&amp;B$1,INDIRECT("Pianificazione!c1:c800")&amp;INDIRECT("Pianificazione!a1:a800"),0)),"hh:mm"),""))</f>
        <v>Riposo</v>
      </c>
      <c r="C63" s="15" t="str" cm="1">
        <f t="array" aca="1" ref="C63" ca="1">+IF(IFERROR(TEXT(INDEX(INDIRECT("Pianificazione!e1:e800"),MATCH($A63&amp;C$1,INDIRECT("Pianificazione!c1:c800")&amp;INDIRECT("Pianificazione!a1:a800"),0)),"hh:mm"),"")&amp;"-"&amp;IFERROR(TEXT(INDEX(INDIRECT("Pianificazione!f1:f800"),MATCH($A63&amp;C$1,INDIRECT("Pianificazione!c1:c800")&amp;INDIRECT("Pianificazione!a1:a800"),0)),"hh:mm"),"")="-","Riposo",IFERROR(TEXT(INDEX(INDIRECT("Pianificazione!e1:e800"),MATCH($A63&amp;C$1,INDIRECT("Pianificazione!c1:c800")&amp;INDIRECT("Pianificazione!a1:a800"),0)),"hh:mm"),"")&amp;"-"&amp;IFERROR(TEXT(INDEX(INDIRECT("Pianificazione!f1:f800"),MATCH($A63&amp;C$1,INDIRECT("Pianificazione!c1:c800")&amp;INDIRECT("Pianificazione!a1:a800"),0)),"hh:mm"),""))</f>
        <v>Riposo</v>
      </c>
      <c r="D63" s="15" t="str" cm="1">
        <f t="array" aca="1" ref="D63" ca="1">+IF(IFERROR(TEXT(INDEX(INDIRECT("Pianificazione!e1:e800"),MATCH($A63&amp;D$1,INDIRECT("Pianificazione!c1:c800")&amp;INDIRECT("Pianificazione!a1:a800"),0)),"hh:mm"),"")&amp;"-"&amp;IFERROR(TEXT(INDEX(INDIRECT("Pianificazione!f1:f800"),MATCH($A63&amp;D$1,INDIRECT("Pianificazione!c1:c800")&amp;INDIRECT("Pianificazione!a1:a800"),0)),"hh:mm"),"")="-","Riposo",IFERROR(TEXT(INDEX(INDIRECT("Pianificazione!e1:e800"),MATCH($A63&amp;D$1,INDIRECT("Pianificazione!c1:c800")&amp;INDIRECT("Pianificazione!a1:a800"),0)),"hh:mm"),"")&amp;"-"&amp;IFERROR(TEXT(INDEX(INDIRECT("Pianificazione!f1:f800"),MATCH($A63&amp;D$1,INDIRECT("Pianificazione!c1:c800")&amp;INDIRECT("Pianificazione!a1:a800"),0)),"hh:mm"),""))</f>
        <v>Riposo</v>
      </c>
      <c r="E63" s="15" t="str" cm="1">
        <f t="array" aca="1" ref="E63" ca="1">+IF(IFERROR(TEXT(INDEX(INDIRECT("Pianificazione!e1:e800"),MATCH($A63&amp;E$1,INDIRECT("Pianificazione!c1:c800")&amp;INDIRECT("Pianificazione!a1:a800"),0)),"hh:mm"),"")&amp;"-"&amp;IFERROR(TEXT(INDEX(INDIRECT("Pianificazione!f1:f800"),MATCH($A63&amp;E$1,INDIRECT("Pianificazione!c1:c800")&amp;INDIRECT("Pianificazione!a1:a800"),0)),"hh:mm"),"")="-","Riposo",IFERROR(TEXT(INDEX(INDIRECT("Pianificazione!e1:e800"),MATCH($A63&amp;E$1,INDIRECT("Pianificazione!c1:c800")&amp;INDIRECT("Pianificazione!a1:a800"),0)),"hh:mm"),"")&amp;"-"&amp;IFERROR(TEXT(INDEX(INDIRECT("Pianificazione!f1:f800"),MATCH($A63&amp;E$1,INDIRECT("Pianificazione!c1:c800")&amp;INDIRECT("Pianificazione!a1:a800"),0)),"hh:mm"),""))</f>
        <v>Riposo</v>
      </c>
      <c r="F63" s="15" t="str" cm="1">
        <f t="array" aca="1" ref="F63" ca="1">+IF(IFERROR(TEXT(INDEX(INDIRECT("Pianificazione!e1:e800"),MATCH($A63&amp;F$1,INDIRECT("Pianificazione!c1:c800")&amp;INDIRECT("Pianificazione!a1:a800"),0)),"hh:mm"),"")&amp;"-"&amp;IFERROR(TEXT(INDEX(INDIRECT("Pianificazione!f1:f800"),MATCH($A63&amp;F$1,INDIRECT("Pianificazione!c1:c800")&amp;INDIRECT("Pianificazione!a1:a800"),0)),"hh:mm"),"")="-","Riposo",IFERROR(TEXT(INDEX(INDIRECT("Pianificazione!e1:e800"),MATCH($A63&amp;F$1,INDIRECT("Pianificazione!c1:c800")&amp;INDIRECT("Pianificazione!a1:a800"),0)),"hh:mm"),"")&amp;"-"&amp;IFERROR(TEXT(INDEX(INDIRECT("Pianificazione!f1:f800"),MATCH($A63&amp;F$1,INDIRECT("Pianificazione!c1:c800")&amp;INDIRECT("Pianificazione!a1:a800"),0)),"hh:mm"),""))</f>
        <v>Riposo</v>
      </c>
      <c r="G63" s="15" t="str" cm="1">
        <f t="array" aca="1" ref="G63" ca="1">+IF(IFERROR(TEXT(INDEX(INDIRECT("Pianificazione!e1:e800"),MATCH($A63&amp;G$1,INDIRECT("Pianificazione!c1:c800")&amp;INDIRECT("Pianificazione!a1:a800"),0)),"hh:mm"),"")&amp;"-"&amp;IFERROR(TEXT(INDEX(INDIRECT("Pianificazione!f1:f800"),MATCH($A63&amp;G$1,INDIRECT("Pianificazione!c1:c800")&amp;INDIRECT("Pianificazione!a1:a800"),0)),"hh:mm"),"")="-","Riposo",IFERROR(TEXT(INDEX(INDIRECT("Pianificazione!e1:e800"),MATCH($A63&amp;G$1,INDIRECT("Pianificazione!c1:c800")&amp;INDIRECT("Pianificazione!a1:a800"),0)),"hh:mm"),"")&amp;"-"&amp;IFERROR(TEXT(INDEX(INDIRECT("Pianificazione!f1:f800"),MATCH($A63&amp;G$1,INDIRECT("Pianificazione!c1:c800")&amp;INDIRECT("Pianificazione!a1:a800"),0)),"hh:mm"),""))</f>
        <v>Riposo</v>
      </c>
      <c r="H63" s="15" t="str" cm="1">
        <f t="array" aca="1" ref="H63" ca="1">+IF(IFERROR(TEXT(INDEX(INDIRECT("Pianificazione!e1:e800"),MATCH($A63&amp;H$1,INDIRECT("Pianificazione!c1:c800")&amp;INDIRECT("Pianificazione!a1:a800"),0)),"hh:mm"),"")&amp;"-"&amp;IFERROR(TEXT(INDEX(INDIRECT("Pianificazione!f1:f800"),MATCH($A63&amp;H$1,INDIRECT("Pianificazione!c1:c800")&amp;INDIRECT("Pianificazione!a1:a800"),0)),"hh:mm"),"")="-","Riposo",IFERROR(TEXT(INDEX(INDIRECT("Pianificazione!e1:e800"),MATCH($A63&amp;H$1,INDIRECT("Pianificazione!c1:c800")&amp;INDIRECT("Pianificazione!a1:a800"),0)),"hh:mm"),"")&amp;"-"&amp;IFERROR(TEXT(INDEX(INDIRECT("Pianificazione!f1:f800"),MATCH($A63&amp;H$1,INDIRECT("Pianificazione!c1:c800")&amp;INDIRECT("Pianificazione!a1:a800"),0)),"hh:mm"),""))</f>
        <v>Riposo</v>
      </c>
    </row>
    <row r="64" spans="1:8">
      <c r="A64" t="str">
        <f>+Risorse!B64</f>
        <v>Manzo Antonio</v>
      </c>
      <c r="B64" s="15" t="str" cm="1">
        <f t="array" aca="1" ref="B64" ca="1">+IF(IFERROR(TEXT(INDEX(INDIRECT("Pianificazione!e1:e800"),MATCH($A64&amp;B$1,INDIRECT("Pianificazione!c1:c800")&amp;INDIRECT("Pianificazione!a1:a800"),0)),"hh:mm"),"")&amp;"-"&amp;IFERROR(TEXT(INDEX(INDIRECT("Pianificazione!f1:f800"),MATCH($A64&amp;B$1,INDIRECT("Pianificazione!c1:c800")&amp;INDIRECT("Pianificazione!a1:a800"),0)),"hh:mm"),"")="-","Riposo",IFERROR(TEXT(INDEX(INDIRECT("Pianificazione!e1:e800"),MATCH($A64&amp;B$1,INDIRECT("Pianificazione!c1:c800")&amp;INDIRECT("Pianificazione!a1:a800"),0)),"hh:mm"),"")&amp;"-"&amp;IFERROR(TEXT(INDEX(INDIRECT("Pianificazione!f1:f800"),MATCH($A64&amp;B$1,INDIRECT("Pianificazione!c1:c800")&amp;INDIRECT("Pianificazione!a1:a800"),0)),"hh:mm"),""))</f>
        <v>Riposo</v>
      </c>
      <c r="C64" s="15" t="str" cm="1">
        <f t="array" aca="1" ref="C64" ca="1">+IF(IFERROR(TEXT(INDEX(INDIRECT("Pianificazione!e1:e800"),MATCH($A64&amp;C$1,INDIRECT("Pianificazione!c1:c800")&amp;INDIRECT("Pianificazione!a1:a800"),0)),"hh:mm"),"")&amp;"-"&amp;IFERROR(TEXT(INDEX(INDIRECT("Pianificazione!f1:f800"),MATCH($A64&amp;C$1,INDIRECT("Pianificazione!c1:c800")&amp;INDIRECT("Pianificazione!a1:a800"),0)),"hh:mm"),"")="-","Riposo",IFERROR(TEXT(INDEX(INDIRECT("Pianificazione!e1:e800"),MATCH($A64&amp;C$1,INDIRECT("Pianificazione!c1:c800")&amp;INDIRECT("Pianificazione!a1:a800"),0)),"hh:mm"),"")&amp;"-"&amp;IFERROR(TEXT(INDEX(INDIRECT("Pianificazione!f1:f800"),MATCH($A64&amp;C$1,INDIRECT("Pianificazione!c1:c800")&amp;INDIRECT("Pianificazione!a1:a800"),0)),"hh:mm"),""))</f>
        <v>Riposo</v>
      </c>
      <c r="D64" s="15" t="str" cm="1">
        <f t="array" aca="1" ref="D64" ca="1">+IF(IFERROR(TEXT(INDEX(INDIRECT("Pianificazione!e1:e800"),MATCH($A64&amp;D$1,INDIRECT("Pianificazione!c1:c800")&amp;INDIRECT("Pianificazione!a1:a800"),0)),"hh:mm"),"")&amp;"-"&amp;IFERROR(TEXT(INDEX(INDIRECT("Pianificazione!f1:f800"),MATCH($A64&amp;D$1,INDIRECT("Pianificazione!c1:c800")&amp;INDIRECT("Pianificazione!a1:a800"),0)),"hh:mm"),"")="-","Riposo",IFERROR(TEXT(INDEX(INDIRECT("Pianificazione!e1:e800"),MATCH($A64&amp;D$1,INDIRECT("Pianificazione!c1:c800")&amp;INDIRECT("Pianificazione!a1:a800"),0)),"hh:mm"),"")&amp;"-"&amp;IFERROR(TEXT(INDEX(INDIRECT("Pianificazione!f1:f800"),MATCH($A64&amp;D$1,INDIRECT("Pianificazione!c1:c800")&amp;INDIRECT("Pianificazione!a1:a800"),0)),"hh:mm"),""))</f>
        <v>Riposo</v>
      </c>
      <c r="E64" s="15" t="str" cm="1">
        <f t="array" aca="1" ref="E64" ca="1">+IF(IFERROR(TEXT(INDEX(INDIRECT("Pianificazione!e1:e800"),MATCH($A64&amp;E$1,INDIRECT("Pianificazione!c1:c800")&amp;INDIRECT("Pianificazione!a1:a800"),0)),"hh:mm"),"")&amp;"-"&amp;IFERROR(TEXT(INDEX(INDIRECT("Pianificazione!f1:f800"),MATCH($A64&amp;E$1,INDIRECT("Pianificazione!c1:c800")&amp;INDIRECT("Pianificazione!a1:a800"),0)),"hh:mm"),"")="-","Riposo",IFERROR(TEXT(INDEX(INDIRECT("Pianificazione!e1:e800"),MATCH($A64&amp;E$1,INDIRECT("Pianificazione!c1:c800")&amp;INDIRECT("Pianificazione!a1:a800"),0)),"hh:mm"),"")&amp;"-"&amp;IFERROR(TEXT(INDEX(INDIRECT("Pianificazione!f1:f800"),MATCH($A64&amp;E$1,INDIRECT("Pianificazione!c1:c800")&amp;INDIRECT("Pianificazione!a1:a800"),0)),"hh:mm"),""))</f>
        <v>Riposo</v>
      </c>
      <c r="F64" s="15" t="str" cm="1">
        <f t="array" aca="1" ref="F64" ca="1">+IF(IFERROR(TEXT(INDEX(INDIRECT("Pianificazione!e1:e800"),MATCH($A64&amp;F$1,INDIRECT("Pianificazione!c1:c800")&amp;INDIRECT("Pianificazione!a1:a800"),0)),"hh:mm"),"")&amp;"-"&amp;IFERROR(TEXT(INDEX(INDIRECT("Pianificazione!f1:f800"),MATCH($A64&amp;F$1,INDIRECT("Pianificazione!c1:c800")&amp;INDIRECT("Pianificazione!a1:a800"),0)),"hh:mm"),"")="-","Riposo",IFERROR(TEXT(INDEX(INDIRECT("Pianificazione!e1:e800"),MATCH($A64&amp;F$1,INDIRECT("Pianificazione!c1:c800")&amp;INDIRECT("Pianificazione!a1:a800"),0)),"hh:mm"),"")&amp;"-"&amp;IFERROR(TEXT(INDEX(INDIRECT("Pianificazione!f1:f800"),MATCH($A64&amp;F$1,INDIRECT("Pianificazione!c1:c800")&amp;INDIRECT("Pianificazione!a1:a800"),0)),"hh:mm"),""))</f>
        <v>Riposo</v>
      </c>
      <c r="G64" s="15" t="str" cm="1">
        <f t="array" aca="1" ref="G64" ca="1">+IF(IFERROR(TEXT(INDEX(INDIRECT("Pianificazione!e1:e800"),MATCH($A64&amp;G$1,INDIRECT("Pianificazione!c1:c800")&amp;INDIRECT("Pianificazione!a1:a800"),0)),"hh:mm"),"")&amp;"-"&amp;IFERROR(TEXT(INDEX(INDIRECT("Pianificazione!f1:f800"),MATCH($A64&amp;G$1,INDIRECT("Pianificazione!c1:c800")&amp;INDIRECT("Pianificazione!a1:a800"),0)),"hh:mm"),"")="-","Riposo",IFERROR(TEXT(INDEX(INDIRECT("Pianificazione!e1:e800"),MATCH($A64&amp;G$1,INDIRECT("Pianificazione!c1:c800")&amp;INDIRECT("Pianificazione!a1:a800"),0)),"hh:mm"),"")&amp;"-"&amp;IFERROR(TEXT(INDEX(INDIRECT("Pianificazione!f1:f800"),MATCH($A64&amp;G$1,INDIRECT("Pianificazione!c1:c800")&amp;INDIRECT("Pianificazione!a1:a800"),0)),"hh:mm"),""))</f>
        <v>Riposo</v>
      </c>
      <c r="H64" s="15" t="str" cm="1">
        <f t="array" aca="1" ref="H64" ca="1">+IF(IFERROR(TEXT(INDEX(INDIRECT("Pianificazione!e1:e800"),MATCH($A64&amp;H$1,INDIRECT("Pianificazione!c1:c800")&amp;INDIRECT("Pianificazione!a1:a800"),0)),"hh:mm"),"")&amp;"-"&amp;IFERROR(TEXT(INDEX(INDIRECT("Pianificazione!f1:f800"),MATCH($A64&amp;H$1,INDIRECT("Pianificazione!c1:c800")&amp;INDIRECT("Pianificazione!a1:a800"),0)),"hh:mm"),"")="-","Riposo",IFERROR(TEXT(INDEX(INDIRECT("Pianificazione!e1:e800"),MATCH($A64&amp;H$1,INDIRECT("Pianificazione!c1:c800")&amp;INDIRECT("Pianificazione!a1:a800"),0)),"hh:mm"),"")&amp;"-"&amp;IFERROR(TEXT(INDEX(INDIRECT("Pianificazione!f1:f800"),MATCH($A64&amp;H$1,INDIRECT("Pianificazione!c1:c800")&amp;INDIRECT("Pianificazione!a1:a800"),0)),"hh:mm"),""))</f>
        <v>Riposo</v>
      </c>
    </row>
    <row r="65" spans="2:8">
      <c r="B65" s="15"/>
      <c r="C65" s="15"/>
      <c r="D65" s="15"/>
      <c r="E65" s="15"/>
      <c r="F65" s="15"/>
      <c r="G65" s="15"/>
      <c r="H65" s="15"/>
    </row>
    <row r="66" spans="2:8">
      <c r="B66" s="15"/>
      <c r="C66" s="15"/>
      <c r="D66" s="15"/>
      <c r="E66" s="15"/>
      <c r="F66" s="15"/>
      <c r="G66" s="15"/>
      <c r="H66" s="15"/>
    </row>
    <row r="67" spans="2:8">
      <c r="B67" s="15"/>
      <c r="C67" s="15"/>
      <c r="D67" s="15"/>
      <c r="E67" s="15"/>
      <c r="F67" s="15"/>
      <c r="G67" s="15"/>
      <c r="H67" s="15"/>
    </row>
    <row r="68" spans="2:8">
      <c r="B68" s="15"/>
      <c r="C68" s="15"/>
      <c r="D68" s="15"/>
      <c r="E68" s="15"/>
      <c r="F68" s="15"/>
      <c r="G68" s="15"/>
      <c r="H68" s="15"/>
    </row>
    <row r="69" spans="2:8">
      <c r="B69" s="15"/>
      <c r="C69" s="15"/>
      <c r="D69" s="15"/>
      <c r="E69" s="15"/>
      <c r="F69" s="15"/>
      <c r="G69" s="15"/>
      <c r="H69" s="15"/>
    </row>
    <row r="70" spans="2:8">
      <c r="B70" s="15"/>
      <c r="C70" s="15"/>
      <c r="D70" s="15"/>
      <c r="E70" s="15"/>
      <c r="F70" s="15"/>
      <c r="G70" s="15"/>
      <c r="H70" s="15"/>
    </row>
    <row r="71" spans="2:8">
      <c r="B71" s="15"/>
      <c r="C71" s="15"/>
      <c r="D71" s="15"/>
      <c r="E71" s="15"/>
      <c r="F71" s="15"/>
      <c r="G71" s="15"/>
      <c r="H71" s="15"/>
    </row>
    <row r="72" spans="2:8">
      <c r="B72" s="15"/>
      <c r="C72" s="15"/>
      <c r="D72" s="15"/>
      <c r="E72" s="15"/>
      <c r="F72" s="15"/>
      <c r="G72" s="15"/>
      <c r="H72" s="15"/>
    </row>
    <row r="73" spans="2:8">
      <c r="B73" s="15"/>
      <c r="C73" s="15"/>
      <c r="D73" s="15"/>
      <c r="E73" s="15"/>
      <c r="F73" s="15"/>
      <c r="G73" s="15"/>
      <c r="H73" s="15"/>
    </row>
    <row r="74" spans="2:8">
      <c r="B74" s="15"/>
      <c r="C74" s="15"/>
      <c r="D74" s="15"/>
      <c r="E74" s="15"/>
      <c r="F74" s="15"/>
      <c r="G74" s="15"/>
      <c r="H74" s="15"/>
    </row>
    <row r="75" spans="2:8">
      <c r="B75" s="15"/>
      <c r="C75" s="15"/>
      <c r="D75" s="15"/>
      <c r="E75" s="15"/>
      <c r="F75" s="15"/>
      <c r="G75" s="15"/>
      <c r="H75" s="15"/>
    </row>
    <row r="76" spans="2:8">
      <c r="B76" s="15"/>
      <c r="C76" s="15"/>
      <c r="D76" s="15"/>
      <c r="E76" s="15"/>
      <c r="F76" s="15"/>
      <c r="G76" s="15"/>
      <c r="H76" s="15"/>
    </row>
    <row r="77" spans="2:8">
      <c r="B77" s="15"/>
      <c r="C77" s="15"/>
      <c r="D77" s="15"/>
      <c r="E77" s="15"/>
      <c r="F77" s="15"/>
      <c r="G77" s="15"/>
      <c r="H77" s="15"/>
    </row>
    <row r="78" spans="2:8">
      <c r="B78" s="15"/>
      <c r="C78" s="15"/>
      <c r="D78" s="15"/>
      <c r="E78" s="15"/>
      <c r="F78" s="15"/>
      <c r="G78" s="15"/>
      <c r="H78" s="15"/>
    </row>
    <row r="79" spans="2:8">
      <c r="B79" s="15"/>
      <c r="C79" s="15"/>
      <c r="D79" s="15"/>
      <c r="E79" s="15"/>
      <c r="F79" s="15"/>
      <c r="G79" s="15"/>
      <c r="H79" s="15"/>
    </row>
    <row r="80" spans="2:8">
      <c r="B80" s="15"/>
      <c r="C80" s="15"/>
      <c r="D80" s="15"/>
      <c r="E80" s="15"/>
      <c r="F80" s="15"/>
      <c r="G80" s="15"/>
      <c r="H80" s="15"/>
    </row>
    <row r="81" spans="2:8">
      <c r="B81" s="15"/>
      <c r="C81" s="15"/>
      <c r="D81" s="15"/>
      <c r="E81" s="15"/>
      <c r="F81" s="15"/>
      <c r="G81" s="15"/>
      <c r="H81" s="15"/>
    </row>
    <row r="82" spans="2:8">
      <c r="B82" s="15"/>
      <c r="C82" s="15"/>
      <c r="D82" s="15"/>
      <c r="E82" s="15"/>
      <c r="F82" s="15"/>
      <c r="G82" s="15"/>
      <c r="H82" s="15"/>
    </row>
    <row r="83" spans="2:8">
      <c r="B83" s="15"/>
      <c r="C83" s="15"/>
      <c r="D83" s="15"/>
      <c r="E83" s="15"/>
      <c r="F83" s="15"/>
      <c r="G83" s="15"/>
      <c r="H83" s="15"/>
    </row>
    <row r="84" spans="2:8">
      <c r="B84" s="15"/>
      <c r="C84" s="15"/>
      <c r="D84" s="15"/>
      <c r="E84" s="15"/>
      <c r="F84" s="15"/>
      <c r="G84" s="15"/>
      <c r="H84" s="15"/>
    </row>
    <row r="85" spans="2:8">
      <c r="B85" s="15"/>
      <c r="C85" s="15"/>
      <c r="D85" s="15"/>
      <c r="E85" s="15"/>
      <c r="F85" s="15"/>
      <c r="G85" s="15"/>
      <c r="H85" s="15"/>
    </row>
    <row r="86" spans="2:8">
      <c r="B86" s="15"/>
      <c r="C86" s="15"/>
      <c r="D86" s="15"/>
      <c r="E86" s="15"/>
      <c r="F86" s="15"/>
      <c r="G86" s="15"/>
      <c r="H86" s="15"/>
    </row>
    <row r="87" spans="2:8">
      <c r="B87" s="15"/>
      <c r="C87" s="15"/>
      <c r="D87" s="15"/>
      <c r="E87" s="15"/>
      <c r="F87" s="15"/>
      <c r="G87" s="15"/>
      <c r="H87" s="15"/>
    </row>
    <row r="88" spans="2:8">
      <c r="B88" s="15"/>
      <c r="C88" s="15"/>
      <c r="D88" s="15"/>
      <c r="E88" s="15"/>
      <c r="F88" s="15"/>
      <c r="G88" s="15"/>
      <c r="H88" s="15"/>
    </row>
    <row r="89" spans="2:8">
      <c r="B89" s="15"/>
      <c r="C89" s="15"/>
      <c r="D89" s="15"/>
      <c r="E89" s="15"/>
      <c r="F89" s="15"/>
      <c r="G89" s="15"/>
      <c r="H89" s="15"/>
    </row>
    <row r="90" spans="2:8">
      <c r="B90" s="15"/>
      <c r="C90" s="15"/>
      <c r="D90" s="15"/>
      <c r="E90" s="15"/>
      <c r="F90" s="15"/>
      <c r="G90" s="15"/>
      <c r="H90" s="15"/>
    </row>
    <row r="91" spans="2:8">
      <c r="B91" s="15"/>
      <c r="C91" s="15"/>
      <c r="D91" s="15"/>
      <c r="E91" s="15"/>
      <c r="F91" s="15"/>
      <c r="G91" s="15"/>
      <c r="H91" s="15"/>
    </row>
    <row r="92" spans="2:8">
      <c r="B92" s="15"/>
      <c r="C92" s="15"/>
      <c r="D92" s="15"/>
      <c r="E92" s="15"/>
      <c r="F92" s="15"/>
      <c r="G92" s="15"/>
      <c r="H92" s="15"/>
    </row>
    <row r="93" spans="2:8">
      <c r="B93" s="15"/>
      <c r="C93" s="15"/>
      <c r="D93" s="15"/>
      <c r="E93" s="15"/>
      <c r="F93" s="15"/>
      <c r="G93" s="15"/>
      <c r="H93" s="15"/>
    </row>
    <row r="94" spans="2:8">
      <c r="B94" s="15"/>
      <c r="C94" s="15"/>
      <c r="D94" s="15"/>
      <c r="E94" s="15"/>
      <c r="F94" s="15"/>
      <c r="G94" s="15"/>
      <c r="H94" s="15"/>
    </row>
    <row r="95" spans="2:8">
      <c r="B95" s="15"/>
      <c r="C95" s="15"/>
      <c r="D95" s="15"/>
      <c r="E95" s="15"/>
      <c r="F95" s="15"/>
      <c r="G95" s="15"/>
      <c r="H95" s="15"/>
    </row>
    <row r="96" spans="2:8">
      <c r="B96" s="15"/>
      <c r="C96" s="15"/>
      <c r="D96" s="15"/>
      <c r="E96" s="15"/>
      <c r="F96" s="15"/>
      <c r="G96" s="15"/>
      <c r="H96" s="15"/>
    </row>
    <row r="97" spans="2:8">
      <c r="B97" s="15"/>
      <c r="C97" s="15"/>
      <c r="D97" s="15"/>
      <c r="E97" s="15"/>
      <c r="F97" s="15"/>
      <c r="G97" s="15"/>
      <c r="H97" s="15"/>
    </row>
    <row r="98" spans="2:8">
      <c r="B98" s="15"/>
      <c r="C98" s="15"/>
      <c r="D98" s="15"/>
      <c r="E98" s="15"/>
      <c r="F98" s="15"/>
      <c r="G98" s="15"/>
      <c r="H98" s="15"/>
    </row>
    <row r="99" spans="2:8">
      <c r="B99" s="15"/>
      <c r="C99" s="15"/>
      <c r="D99" s="15"/>
      <c r="E99" s="15"/>
      <c r="F99" s="15"/>
      <c r="G99" s="15"/>
      <c r="H99" s="15"/>
    </row>
    <row r="100" spans="2:8">
      <c r="B100" s="15"/>
      <c r="C100" s="15"/>
      <c r="D100" s="15"/>
      <c r="E100" s="15"/>
      <c r="F100" s="15"/>
      <c r="G100" s="15"/>
      <c r="H100" s="15"/>
    </row>
    <row r="101" spans="2:8">
      <c r="B101" s="15"/>
      <c r="C101" s="15"/>
      <c r="D101" s="15"/>
      <c r="E101" s="15"/>
      <c r="F101" s="15"/>
      <c r="G101" s="15"/>
      <c r="H101" s="15"/>
    </row>
    <row r="102" spans="2:8">
      <c r="B102" s="15"/>
      <c r="C102" s="15"/>
      <c r="D102" s="15"/>
      <c r="E102" s="15"/>
      <c r="F102" s="15"/>
      <c r="G102" s="15"/>
      <c r="H102" s="15"/>
    </row>
    <row r="103" spans="2:8">
      <c r="B103" s="15"/>
      <c r="C103" s="15"/>
      <c r="D103" s="15"/>
      <c r="E103" s="15"/>
      <c r="F103" s="15"/>
      <c r="G103" s="15"/>
      <c r="H103" s="15"/>
    </row>
    <row r="104" spans="2:8">
      <c r="B104" s="15"/>
      <c r="C104" s="15"/>
      <c r="D104" s="15"/>
      <c r="E104" s="15"/>
      <c r="F104" s="15"/>
      <c r="G104" s="15"/>
      <c r="H104" s="15"/>
    </row>
    <row r="105" spans="2:8">
      <c r="B105" s="15"/>
      <c r="C105" s="15"/>
      <c r="D105" s="15"/>
      <c r="E105" s="15"/>
      <c r="F105" s="15"/>
      <c r="G105" s="15"/>
      <c r="H105" s="15"/>
    </row>
    <row r="106" spans="2:8">
      <c r="B106" s="15"/>
      <c r="C106" s="15"/>
      <c r="D106" s="15"/>
      <c r="E106" s="15"/>
      <c r="F106" s="15"/>
      <c r="G106" s="15"/>
      <c r="H106" s="15"/>
    </row>
    <row r="107" spans="2:8">
      <c r="B107" s="15"/>
      <c r="C107" s="15"/>
      <c r="D107" s="15"/>
      <c r="E107" s="15"/>
      <c r="F107" s="15"/>
      <c r="G107" s="15"/>
      <c r="H107" s="15"/>
    </row>
    <row r="108" spans="2:8">
      <c r="B108" s="15"/>
      <c r="C108" s="15"/>
      <c r="D108" s="15"/>
      <c r="E108" s="15"/>
      <c r="F108" s="15"/>
      <c r="G108" s="15"/>
      <c r="H108" s="15"/>
    </row>
    <row r="109" spans="2:8">
      <c r="B109" s="15"/>
      <c r="C109" s="15"/>
      <c r="D109" s="15"/>
      <c r="E109" s="15"/>
      <c r="F109" s="15"/>
      <c r="G109" s="15"/>
      <c r="H109" s="15"/>
    </row>
    <row r="110" spans="2:8">
      <c r="B110" s="15"/>
      <c r="C110" s="15"/>
      <c r="D110" s="15"/>
      <c r="E110" s="15"/>
      <c r="F110" s="15"/>
      <c r="G110" s="15"/>
      <c r="H110" s="15"/>
    </row>
    <row r="111" spans="2:8">
      <c r="B111" s="15"/>
      <c r="C111" s="15"/>
      <c r="D111" s="15"/>
      <c r="E111" s="15"/>
      <c r="F111" s="15"/>
      <c r="G111" s="15"/>
      <c r="H111" s="15"/>
    </row>
    <row r="112" spans="2:8">
      <c r="B112" s="15"/>
      <c r="C112" s="15"/>
      <c r="D112" s="15"/>
      <c r="E112" s="15"/>
      <c r="F112" s="15"/>
      <c r="G112" s="15"/>
      <c r="H112" s="15"/>
    </row>
    <row r="113" spans="2:8">
      <c r="B113" s="15"/>
      <c r="C113" s="15"/>
      <c r="D113" s="15"/>
      <c r="E113" s="15"/>
      <c r="F113" s="15"/>
      <c r="G113" s="15"/>
      <c r="H113" s="15"/>
    </row>
    <row r="114" spans="2:8">
      <c r="B114" s="15"/>
      <c r="C114" s="15"/>
      <c r="D114" s="15"/>
      <c r="E114" s="15"/>
      <c r="F114" s="15"/>
      <c r="G114" s="15"/>
      <c r="H114" s="15"/>
    </row>
    <row r="115" spans="2:8">
      <c r="B115" s="15"/>
      <c r="C115" s="15"/>
      <c r="D115" s="15"/>
      <c r="E115" s="15"/>
      <c r="F115" s="15"/>
      <c r="G115" s="15"/>
      <c r="H115" s="15"/>
    </row>
    <row r="116" spans="2:8">
      <c r="B116" s="15"/>
      <c r="C116" s="15"/>
      <c r="D116" s="15"/>
      <c r="E116" s="15"/>
      <c r="F116" s="15"/>
      <c r="G116" s="15"/>
      <c r="H116" s="15"/>
    </row>
    <row r="117" spans="2:8">
      <c r="B117" s="15"/>
      <c r="C117" s="15"/>
      <c r="D117" s="15"/>
      <c r="E117" s="15"/>
      <c r="F117" s="15"/>
      <c r="G117" s="15"/>
      <c r="H117" s="15"/>
    </row>
    <row r="118" spans="2:8">
      <c r="B118" s="15"/>
      <c r="C118" s="15"/>
      <c r="D118" s="15"/>
      <c r="E118" s="15"/>
      <c r="F118" s="15"/>
      <c r="G118" s="15"/>
      <c r="H118" s="15"/>
    </row>
    <row r="119" spans="2:8">
      <c r="B119" s="15"/>
      <c r="C119" s="15"/>
      <c r="D119" s="15"/>
      <c r="E119" s="15"/>
      <c r="F119" s="15"/>
      <c r="G119" s="15"/>
      <c r="H119" s="15"/>
    </row>
    <row r="120" spans="2:8">
      <c r="B120" s="15"/>
      <c r="C120" s="15"/>
      <c r="D120" s="15"/>
      <c r="E120" s="15"/>
      <c r="F120" s="15"/>
      <c r="G120" s="15"/>
      <c r="H120" s="15"/>
    </row>
    <row r="121" spans="2:8">
      <c r="B121" s="15"/>
      <c r="C121" s="15"/>
      <c r="D121" s="15"/>
      <c r="E121" s="15"/>
      <c r="F121" s="15"/>
      <c r="G121" s="15"/>
      <c r="H121" s="15"/>
    </row>
    <row r="122" spans="2:8">
      <c r="B122" s="15"/>
      <c r="C122" s="15"/>
      <c r="D122" s="15"/>
      <c r="E122" s="15"/>
      <c r="F122" s="15"/>
      <c r="G122" s="15"/>
      <c r="H122" s="15"/>
    </row>
    <row r="123" spans="2:8">
      <c r="B123" s="15"/>
      <c r="C123" s="15"/>
      <c r="D123" s="15"/>
      <c r="E123" s="15"/>
      <c r="F123" s="15"/>
      <c r="G123" s="15"/>
      <c r="H123" s="15"/>
    </row>
    <row r="124" spans="2:8">
      <c r="B124" s="15"/>
      <c r="C124" s="15"/>
      <c r="D124" s="15"/>
      <c r="E124" s="15"/>
      <c r="F124" s="15"/>
      <c r="G124" s="15"/>
      <c r="H124" s="15"/>
    </row>
    <row r="125" spans="2:8">
      <c r="B125" s="15"/>
      <c r="C125" s="15"/>
      <c r="D125" s="15"/>
      <c r="E125" s="15"/>
      <c r="F125" s="15"/>
      <c r="G125" s="15"/>
      <c r="H125" s="15"/>
    </row>
    <row r="126" spans="2:8">
      <c r="B126" s="15"/>
      <c r="C126" s="15"/>
      <c r="D126" s="15"/>
      <c r="E126" s="15"/>
      <c r="F126" s="15"/>
      <c r="G126" s="15"/>
      <c r="H126" s="15"/>
    </row>
    <row r="127" spans="2:8">
      <c r="B127" s="15"/>
      <c r="C127" s="15"/>
      <c r="D127" s="15"/>
      <c r="E127" s="15"/>
      <c r="F127" s="15"/>
      <c r="G127" s="15"/>
      <c r="H127" s="15"/>
    </row>
    <row r="128" spans="2:8">
      <c r="B128" s="15"/>
      <c r="C128" s="15"/>
      <c r="D128" s="15"/>
      <c r="E128" s="15"/>
      <c r="F128" s="15"/>
      <c r="G128" s="15"/>
      <c r="H128" s="15"/>
    </row>
    <row r="129" spans="2:8">
      <c r="B129" s="15"/>
      <c r="C129" s="15"/>
      <c r="D129" s="15"/>
      <c r="E129" s="15"/>
      <c r="F129" s="15"/>
      <c r="G129" s="15"/>
      <c r="H129" s="15"/>
    </row>
    <row r="130" spans="2:8">
      <c r="B130" s="15"/>
      <c r="C130" s="15"/>
      <c r="D130" s="15"/>
      <c r="E130" s="15"/>
      <c r="F130" s="15"/>
      <c r="G130" s="15"/>
      <c r="H130" s="15"/>
    </row>
    <row r="131" spans="2:8">
      <c r="B131" s="15"/>
      <c r="C131" s="15"/>
      <c r="D131" s="15"/>
      <c r="E131" s="15"/>
      <c r="F131" s="15"/>
      <c r="G131" s="15"/>
      <c r="H131" s="15"/>
    </row>
    <row r="132" spans="2:8">
      <c r="B132" s="15"/>
      <c r="C132" s="15"/>
      <c r="D132" s="15"/>
      <c r="E132" s="15"/>
      <c r="F132" s="15"/>
      <c r="G132" s="15"/>
      <c r="H132" s="15"/>
    </row>
    <row r="133" spans="2:8">
      <c r="B133" s="15"/>
      <c r="C133" s="15"/>
      <c r="D133" s="15"/>
      <c r="E133" s="15"/>
      <c r="F133" s="15"/>
      <c r="G133" s="15"/>
      <c r="H133" s="15"/>
    </row>
    <row r="134" spans="2:8">
      <c r="B134" s="15"/>
      <c r="C134" s="15"/>
      <c r="D134" s="15"/>
      <c r="E134" s="15"/>
      <c r="F134" s="15"/>
      <c r="G134" s="15"/>
      <c r="H134" s="15"/>
    </row>
    <row r="135" spans="2:8">
      <c r="B135" s="15"/>
      <c r="C135" s="15"/>
      <c r="D135" s="15"/>
      <c r="E135" s="15"/>
      <c r="F135" s="15"/>
      <c r="G135" s="15"/>
      <c r="H135" s="15"/>
    </row>
    <row r="136" spans="2:8">
      <c r="B136" s="15"/>
      <c r="C136" s="15"/>
      <c r="D136" s="15"/>
      <c r="E136" s="15"/>
      <c r="F136" s="15"/>
      <c r="G136" s="15"/>
      <c r="H136" s="15"/>
    </row>
    <row r="137" spans="2:8">
      <c r="B137" s="15"/>
      <c r="C137" s="15"/>
      <c r="D137" s="15"/>
      <c r="E137" s="15"/>
      <c r="F137" s="15"/>
      <c r="G137" s="15"/>
      <c r="H137" s="15"/>
    </row>
    <row r="138" spans="2:8">
      <c r="B138" s="15"/>
      <c r="C138" s="15"/>
      <c r="D138" s="15"/>
      <c r="E138" s="15"/>
      <c r="F138" s="15"/>
      <c r="G138" s="15"/>
      <c r="H138" s="15"/>
    </row>
    <row r="139" spans="2:8">
      <c r="B139" s="15"/>
      <c r="C139" s="15"/>
      <c r="D139" s="15"/>
      <c r="E139" s="15"/>
      <c r="F139" s="15"/>
      <c r="G139" s="15"/>
      <c r="H139" s="15"/>
    </row>
    <row r="140" spans="2:8">
      <c r="B140" s="15"/>
      <c r="C140" s="15"/>
      <c r="D140" s="15"/>
      <c r="E140" s="15"/>
      <c r="F140" s="15"/>
      <c r="G140" s="15"/>
      <c r="H140" s="15"/>
    </row>
    <row r="141" spans="2:8">
      <c r="B141" s="15"/>
      <c r="C141" s="15"/>
      <c r="D141" s="15"/>
      <c r="E141" s="15"/>
      <c r="F141" s="15"/>
      <c r="G141" s="15"/>
      <c r="H141" s="15"/>
    </row>
    <row r="142" spans="2:8">
      <c r="B142" s="15"/>
      <c r="C142" s="15"/>
      <c r="D142" s="15"/>
      <c r="E142" s="15"/>
      <c r="F142" s="15"/>
      <c r="G142" s="15"/>
      <c r="H142" s="15"/>
    </row>
    <row r="143" spans="2:8">
      <c r="B143" s="15"/>
      <c r="C143" s="15"/>
      <c r="D143" s="15"/>
      <c r="E143" s="15"/>
      <c r="F143" s="15"/>
      <c r="G143" s="15"/>
      <c r="H143" s="15"/>
    </row>
    <row r="144" spans="2:8">
      <c r="B144" s="15"/>
      <c r="C144" s="15"/>
      <c r="D144" s="15"/>
      <c r="E144" s="15"/>
      <c r="F144" s="15"/>
      <c r="G144" s="15"/>
      <c r="H144" s="15"/>
    </row>
    <row r="145" spans="2:8">
      <c r="B145" s="15"/>
      <c r="C145" s="15"/>
      <c r="D145" s="15"/>
      <c r="E145" s="15"/>
      <c r="F145" s="15"/>
      <c r="G145" s="15"/>
      <c r="H145" s="15"/>
    </row>
    <row r="146" spans="2:8">
      <c r="B146" s="15"/>
      <c r="C146" s="15"/>
      <c r="D146" s="15"/>
      <c r="E146" s="15"/>
      <c r="F146" s="15"/>
      <c r="G146" s="15"/>
      <c r="H146" s="15"/>
    </row>
    <row r="147" spans="2:8">
      <c r="B147" s="15"/>
      <c r="C147" s="15"/>
      <c r="D147" s="15"/>
      <c r="E147" s="15"/>
      <c r="F147" s="15"/>
      <c r="G147" s="15"/>
      <c r="H147" s="15"/>
    </row>
    <row r="148" spans="2:8">
      <c r="B148" s="15"/>
      <c r="C148" s="15"/>
      <c r="D148" s="15"/>
      <c r="E148" s="15"/>
      <c r="F148" s="15"/>
      <c r="G148" s="15"/>
      <c r="H148" s="15"/>
    </row>
    <row r="149" spans="2:8">
      <c r="B149" s="15"/>
      <c r="C149" s="15"/>
      <c r="D149" s="15"/>
      <c r="E149" s="15"/>
      <c r="F149" s="15"/>
      <c r="G149" s="15"/>
      <c r="H149" s="15"/>
    </row>
    <row r="150" spans="2:8">
      <c r="B150" s="15"/>
      <c r="C150" s="15"/>
      <c r="D150" s="15"/>
      <c r="E150" s="15"/>
      <c r="F150" s="15"/>
      <c r="G150" s="15"/>
      <c r="H150" s="15"/>
    </row>
    <row r="151" spans="2:8">
      <c r="B151" s="15"/>
      <c r="C151" s="15"/>
      <c r="D151" s="15"/>
      <c r="E151" s="15"/>
      <c r="F151" s="15"/>
      <c r="G151" s="15"/>
      <c r="H151" s="15"/>
    </row>
    <row r="152" spans="2:8">
      <c r="B152" s="15"/>
      <c r="C152" s="15"/>
      <c r="D152" s="15"/>
      <c r="E152" s="15"/>
      <c r="F152" s="15"/>
      <c r="G152" s="15"/>
      <c r="H152" s="15"/>
    </row>
    <row r="153" spans="2:8">
      <c r="B153" s="15"/>
      <c r="C153" s="15"/>
      <c r="D153" s="15"/>
      <c r="E153" s="15"/>
      <c r="F153" s="15"/>
      <c r="G153" s="15"/>
      <c r="H153" s="15"/>
    </row>
    <row r="154" spans="2:8">
      <c r="B154" s="15"/>
      <c r="C154" s="15"/>
      <c r="D154" s="15"/>
      <c r="E154" s="15"/>
      <c r="F154" s="15"/>
      <c r="G154" s="15"/>
      <c r="H154" s="15"/>
    </row>
    <row r="155" spans="2:8">
      <c r="B155" s="15"/>
      <c r="C155" s="15"/>
      <c r="D155" s="15"/>
      <c r="E155" s="15"/>
      <c r="F155" s="15"/>
      <c r="G155" s="15"/>
      <c r="H155" s="15"/>
    </row>
    <row r="156" spans="2:8">
      <c r="B156" s="15"/>
      <c r="C156" s="15"/>
      <c r="D156" s="15"/>
      <c r="E156" s="15"/>
      <c r="F156" s="15"/>
      <c r="G156" s="15"/>
      <c r="H156" s="15"/>
    </row>
    <row r="157" spans="2:8">
      <c r="B157" s="15"/>
      <c r="C157" s="15"/>
      <c r="D157" s="15"/>
      <c r="E157" s="15"/>
      <c r="F157" s="15"/>
      <c r="G157" s="15"/>
      <c r="H157" s="15"/>
    </row>
    <row r="158" spans="2:8">
      <c r="B158" s="15"/>
      <c r="C158" s="15"/>
      <c r="D158" s="15"/>
      <c r="E158" s="15"/>
      <c r="F158" s="15"/>
      <c r="G158" s="15"/>
      <c r="H158" s="15"/>
    </row>
    <row r="159" spans="2:8">
      <c r="B159" s="15"/>
      <c r="C159" s="15"/>
      <c r="D159" s="15"/>
      <c r="E159" s="15"/>
      <c r="F159" s="15"/>
      <c r="G159" s="15"/>
      <c r="H159" s="15"/>
    </row>
    <row r="160" spans="2:8">
      <c r="B160" s="15"/>
      <c r="C160" s="15"/>
      <c r="D160" s="15"/>
      <c r="E160" s="15"/>
      <c r="F160" s="15"/>
      <c r="G160" s="15"/>
      <c r="H160" s="15"/>
    </row>
    <row r="161" spans="2:8">
      <c r="B161" s="15"/>
      <c r="C161" s="15"/>
      <c r="D161" s="15"/>
      <c r="E161" s="15"/>
      <c r="F161" s="15"/>
      <c r="G161" s="15"/>
      <c r="H161" s="15"/>
    </row>
    <row r="162" spans="2:8">
      <c r="B162" s="15"/>
      <c r="C162" s="15"/>
      <c r="D162" s="15"/>
      <c r="E162" s="15"/>
      <c r="F162" s="15"/>
      <c r="G162" s="15"/>
      <c r="H162" s="15"/>
    </row>
    <row r="163" spans="2:8">
      <c r="B163" s="15"/>
      <c r="C163" s="15"/>
      <c r="D163" s="15"/>
      <c r="E163" s="15"/>
      <c r="F163" s="15"/>
      <c r="G163" s="15"/>
      <c r="H163" s="15"/>
    </row>
  </sheetData>
  <autoFilter ref="A1:H64" xr:uid="{04840462-219B-447F-8BA0-2C380074A979}"/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90155-D9AA-4B8D-940B-29184CEBC1E9}">
  <sheetPr codeName="Foglio5"/>
  <dimension ref="A1:O96"/>
  <sheetViews>
    <sheetView workbookViewId="0">
      <selection activeCell="D28" sqref="D28"/>
    </sheetView>
  </sheetViews>
  <sheetFormatPr defaultRowHeight="14.25"/>
  <cols>
    <col min="1" max="1" width="28.33203125" bestFit="1" customWidth="1"/>
    <col min="15" max="15" width="97.59765625" bestFit="1" customWidth="1"/>
  </cols>
  <sheetData>
    <row r="1" spans="1:15">
      <c r="A1" t="s">
        <v>250</v>
      </c>
      <c r="B1" t="s">
        <v>251</v>
      </c>
    </row>
    <row r="2" spans="1:15" ht="30.75">
      <c r="A2" t="s">
        <v>232</v>
      </c>
      <c r="B2" s="8">
        <v>0.6</v>
      </c>
      <c r="D2" s="9" t="s">
        <v>252</v>
      </c>
      <c r="O2" s="9" t="s">
        <v>297</v>
      </c>
    </row>
    <row r="3" spans="1:15">
      <c r="A3" t="s">
        <v>233</v>
      </c>
      <c r="B3" s="8">
        <v>0.8</v>
      </c>
      <c r="O3" s="11"/>
    </row>
    <row r="4" spans="1:15" ht="23.25">
      <c r="A4" t="s">
        <v>234</v>
      </c>
      <c r="B4" s="8">
        <v>120</v>
      </c>
      <c r="D4" s="10" t="s">
        <v>253</v>
      </c>
      <c r="O4" s="14" t="s">
        <v>298</v>
      </c>
    </row>
    <row r="5" spans="1:15">
      <c r="A5" t="s">
        <v>235</v>
      </c>
      <c r="B5" s="8">
        <v>15</v>
      </c>
      <c r="D5" s="11"/>
      <c r="O5" s="11" t="s">
        <v>299</v>
      </c>
    </row>
    <row r="6" spans="1:15">
      <c r="A6" t="s">
        <v>236</v>
      </c>
      <c r="B6" s="8">
        <v>2</v>
      </c>
      <c r="D6" s="12" t="s">
        <v>254</v>
      </c>
      <c r="O6" s="11"/>
    </row>
    <row r="7" spans="1:15">
      <c r="A7" t="s">
        <v>237</v>
      </c>
      <c r="B7" s="8">
        <v>30</v>
      </c>
      <c r="D7" s="11" t="s">
        <v>255</v>
      </c>
      <c r="O7" s="14" t="s">
        <v>300</v>
      </c>
    </row>
    <row r="8" spans="1:15">
      <c r="A8" t="s">
        <v>238</v>
      </c>
      <c r="B8" s="8">
        <v>1</v>
      </c>
      <c r="D8" s="11"/>
      <c r="O8" s="11" t="s">
        <v>301</v>
      </c>
    </row>
    <row r="9" spans="1:15">
      <c r="A9" t="s">
        <v>239</v>
      </c>
      <c r="B9" s="8">
        <v>1200</v>
      </c>
      <c r="D9" s="12" t="s">
        <v>256</v>
      </c>
      <c r="O9" s="11"/>
    </row>
    <row r="10" spans="1:15">
      <c r="A10" t="s">
        <v>240</v>
      </c>
      <c r="B10" s="8">
        <v>7</v>
      </c>
      <c r="D10" s="11" t="s">
        <v>257</v>
      </c>
      <c r="O10" s="14" t="s">
        <v>302</v>
      </c>
    </row>
    <row r="11" spans="1:15">
      <c r="A11" t="s">
        <v>241</v>
      </c>
      <c r="B11" s="8">
        <v>12</v>
      </c>
      <c r="D11" s="11"/>
      <c r="O11" s="11" t="s">
        <v>303</v>
      </c>
    </row>
    <row r="12" spans="1:15">
      <c r="A12" t="s">
        <v>242</v>
      </c>
      <c r="B12" s="8">
        <v>10</v>
      </c>
      <c r="D12" s="12" t="s">
        <v>258</v>
      </c>
      <c r="O12" s="11"/>
    </row>
    <row r="13" spans="1:15">
      <c r="A13" t="s">
        <v>243</v>
      </c>
      <c r="B13" s="8">
        <v>8</v>
      </c>
      <c r="D13" s="11" t="s">
        <v>259</v>
      </c>
      <c r="O13" s="14" t="s">
        <v>304</v>
      </c>
    </row>
    <row r="14" spans="1:15">
      <c r="A14" t="s">
        <v>244</v>
      </c>
      <c r="B14" s="8">
        <v>12</v>
      </c>
      <c r="D14" s="11"/>
      <c r="O14" s="11" t="s">
        <v>305</v>
      </c>
    </row>
    <row r="15" spans="1:15">
      <c r="A15" t="s">
        <v>245</v>
      </c>
      <c r="B15">
        <v>0.8</v>
      </c>
      <c r="D15" s="11" t="s">
        <v>260</v>
      </c>
      <c r="O15" s="11"/>
    </row>
    <row r="16" spans="1:15">
      <c r="A16" t="s">
        <v>246</v>
      </c>
      <c r="B16" t="b">
        <v>1</v>
      </c>
      <c r="D16" s="13"/>
      <c r="O16" s="14" t="s">
        <v>306</v>
      </c>
    </row>
    <row r="17" spans="1:15">
      <c r="A17" t="s">
        <v>247</v>
      </c>
      <c r="B17">
        <v>1.6</v>
      </c>
      <c r="D17" s="13" t="s">
        <v>261</v>
      </c>
      <c r="O17" s="11" t="s">
        <v>307</v>
      </c>
    </row>
    <row r="18" spans="1:15">
      <c r="A18" t="s">
        <v>248</v>
      </c>
      <c r="B18">
        <v>1</v>
      </c>
      <c r="O18" s="11"/>
    </row>
    <row r="19" spans="1:15" ht="16.899999999999999" customHeight="1">
      <c r="A19" t="s">
        <v>249</v>
      </c>
      <c r="B19">
        <v>1.5</v>
      </c>
      <c r="D19" s="10" t="s">
        <v>262</v>
      </c>
      <c r="O19" s="14" t="s">
        <v>308</v>
      </c>
    </row>
    <row r="20" spans="1:15">
      <c r="A20" t="s">
        <v>292</v>
      </c>
      <c r="B20">
        <v>2</v>
      </c>
      <c r="D20" s="11"/>
      <c r="O20" s="11" t="s">
        <v>309</v>
      </c>
    </row>
    <row r="21" spans="1:15">
      <c r="A21" t="s">
        <v>293</v>
      </c>
      <c r="B21">
        <v>12</v>
      </c>
      <c r="D21" s="12" t="s">
        <v>263</v>
      </c>
      <c r="O21" s="11"/>
    </row>
    <row r="22" spans="1:15">
      <c r="A22" t="s">
        <v>294</v>
      </c>
      <c r="B22">
        <v>9</v>
      </c>
      <c r="D22" s="11" t="s">
        <v>264</v>
      </c>
      <c r="O22" s="14" t="s">
        <v>310</v>
      </c>
    </row>
    <row r="23" spans="1:15">
      <c r="A23" t="s">
        <v>295</v>
      </c>
      <c r="B23">
        <v>6</v>
      </c>
      <c r="D23" s="11"/>
      <c r="O23" s="11" t="s">
        <v>311</v>
      </c>
    </row>
    <row r="24" spans="1:15">
      <c r="A24" t="s">
        <v>296</v>
      </c>
      <c r="B24">
        <v>5</v>
      </c>
      <c r="D24" s="12" t="s">
        <v>265</v>
      </c>
      <c r="O24" s="11"/>
    </row>
    <row r="25" spans="1:15">
      <c r="A25" t="s">
        <v>355</v>
      </c>
      <c r="B25">
        <v>240</v>
      </c>
      <c r="D25" s="11" t="s">
        <v>266</v>
      </c>
      <c r="O25" s="14" t="s">
        <v>312</v>
      </c>
    </row>
    <row r="26" spans="1:15">
      <c r="A26" t="s">
        <v>356</v>
      </c>
      <c r="B26">
        <v>0.75</v>
      </c>
      <c r="O26" s="11" t="s">
        <v>313</v>
      </c>
    </row>
    <row r="27" spans="1:15" ht="23.25">
      <c r="A27" t="s">
        <v>404</v>
      </c>
      <c r="D27" s="10" t="s">
        <v>267</v>
      </c>
      <c r="O27" s="11"/>
    </row>
    <row r="28" spans="1:15">
      <c r="A28" t="s">
        <v>405</v>
      </c>
      <c r="B28">
        <v>0</v>
      </c>
      <c r="D28" s="11"/>
      <c r="O28" s="14" t="s">
        <v>314</v>
      </c>
    </row>
    <row r="29" spans="1:15">
      <c r="D29" s="12" t="s">
        <v>268</v>
      </c>
      <c r="O29" s="11" t="s">
        <v>315</v>
      </c>
    </row>
    <row r="30" spans="1:15">
      <c r="D30" s="11" t="s">
        <v>269</v>
      </c>
      <c r="O30" s="11"/>
    </row>
    <row r="31" spans="1:15">
      <c r="D31" s="11"/>
      <c r="O31" s="14" t="s">
        <v>316</v>
      </c>
    </row>
    <row r="32" spans="1:15">
      <c r="D32" s="12" t="s">
        <v>270</v>
      </c>
      <c r="O32" s="11" t="s">
        <v>317</v>
      </c>
    </row>
    <row r="33" spans="4:15">
      <c r="D33" s="11" t="s">
        <v>271</v>
      </c>
      <c r="O33" s="11"/>
    </row>
    <row r="34" spans="4:15">
      <c r="D34" s="11"/>
      <c r="O34" s="14" t="s">
        <v>318</v>
      </c>
    </row>
    <row r="35" spans="4:15">
      <c r="D35" s="12" t="s">
        <v>272</v>
      </c>
      <c r="O35" s="11" t="s">
        <v>319</v>
      </c>
    </row>
    <row r="36" spans="4:15">
      <c r="D36" s="11" t="s">
        <v>273</v>
      </c>
      <c r="O36" s="11"/>
    </row>
    <row r="37" spans="4:15">
      <c r="D37" s="11"/>
      <c r="O37" s="14" t="s">
        <v>320</v>
      </c>
    </row>
    <row r="38" spans="4:15">
      <c r="D38" s="12" t="s">
        <v>274</v>
      </c>
      <c r="O38" s="11" t="s">
        <v>321</v>
      </c>
    </row>
    <row r="39" spans="4:15">
      <c r="D39" s="11" t="s">
        <v>275</v>
      </c>
      <c r="O39" s="11"/>
    </row>
    <row r="40" spans="4:15">
      <c r="D40" s="11"/>
      <c r="O40" s="14" t="s">
        <v>322</v>
      </c>
    </row>
    <row r="41" spans="4:15">
      <c r="D41" s="12" t="s">
        <v>276</v>
      </c>
      <c r="O41" s="11" t="s">
        <v>323</v>
      </c>
    </row>
    <row r="42" spans="4:15">
      <c r="D42" s="11" t="s">
        <v>277</v>
      </c>
      <c r="O42" s="11"/>
    </row>
    <row r="43" spans="4:15">
      <c r="O43" s="14" t="s">
        <v>324</v>
      </c>
    </row>
    <row r="44" spans="4:15" ht="23.25">
      <c r="D44" s="10" t="s">
        <v>278</v>
      </c>
      <c r="O44" s="11" t="s">
        <v>325</v>
      </c>
    </row>
    <row r="45" spans="4:15">
      <c r="D45" s="11"/>
      <c r="O45" s="11"/>
    </row>
    <row r="46" spans="4:15">
      <c r="D46" s="12" t="s">
        <v>279</v>
      </c>
      <c r="O46" s="14" t="s">
        <v>326</v>
      </c>
    </row>
    <row r="47" spans="4:15">
      <c r="D47" s="11" t="s">
        <v>280</v>
      </c>
      <c r="O47" s="11" t="s">
        <v>327</v>
      </c>
    </row>
    <row r="48" spans="4:15">
      <c r="D48" s="11"/>
      <c r="O48" s="11" t="s">
        <v>328</v>
      </c>
    </row>
    <row r="49" spans="4:15">
      <c r="D49" s="12" t="s">
        <v>281</v>
      </c>
      <c r="O49" s="11"/>
    </row>
    <row r="50" spans="4:15">
      <c r="D50" s="11" t="s">
        <v>282</v>
      </c>
      <c r="O50" s="14" t="s">
        <v>329</v>
      </c>
    </row>
    <row r="51" spans="4:15">
      <c r="D51" s="11"/>
      <c r="O51" s="11" t="s">
        <v>330</v>
      </c>
    </row>
    <row r="52" spans="4:15">
      <c r="D52" s="12" t="s">
        <v>283</v>
      </c>
      <c r="O52" s="11" t="s">
        <v>331</v>
      </c>
    </row>
    <row r="53" spans="4:15">
      <c r="D53" s="11" t="s">
        <v>284</v>
      </c>
      <c r="O53" s="11"/>
    </row>
    <row r="54" spans="4:15">
      <c r="D54" s="11"/>
      <c r="O54" s="14" t="s">
        <v>332</v>
      </c>
    </row>
    <row r="55" spans="4:15">
      <c r="D55" s="12" t="s">
        <v>285</v>
      </c>
      <c r="O55" s="11" t="s">
        <v>333</v>
      </c>
    </row>
    <row r="56" spans="4:15">
      <c r="D56" s="11" t="s">
        <v>286</v>
      </c>
      <c r="O56" s="11"/>
    </row>
    <row r="57" spans="4:15">
      <c r="O57" s="14" t="s">
        <v>334</v>
      </c>
    </row>
    <row r="58" spans="4:15" ht="23.25">
      <c r="D58" s="10" t="s">
        <v>287</v>
      </c>
      <c r="O58" s="11" t="s">
        <v>335</v>
      </c>
    </row>
    <row r="59" spans="4:15">
      <c r="D59" s="11"/>
    </row>
    <row r="60" spans="4:15" ht="30.75">
      <c r="D60" s="12" t="s">
        <v>288</v>
      </c>
      <c r="O60" s="9" t="s">
        <v>336</v>
      </c>
    </row>
    <row r="61" spans="4:15">
      <c r="D61" s="11" t="s">
        <v>289</v>
      </c>
      <c r="O61" s="11"/>
    </row>
    <row r="62" spans="4:15">
      <c r="D62" s="11"/>
      <c r="O62" s="14" t="s">
        <v>337</v>
      </c>
    </row>
    <row r="63" spans="4:15">
      <c r="D63" s="12" t="s">
        <v>290</v>
      </c>
      <c r="O63" s="11"/>
    </row>
    <row r="64" spans="4:15">
      <c r="D64" s="11" t="s">
        <v>291</v>
      </c>
      <c r="O64" s="14" t="s">
        <v>338</v>
      </c>
    </row>
    <row r="65" spans="15:15">
      <c r="O65" s="11"/>
    </row>
    <row r="66" spans="15:15">
      <c r="O66" s="14" t="s">
        <v>339</v>
      </c>
    </row>
    <row r="67" spans="15:15">
      <c r="O67" s="11"/>
    </row>
    <row r="68" spans="15:15">
      <c r="O68" s="14" t="s">
        <v>340</v>
      </c>
    </row>
    <row r="69" spans="15:15">
      <c r="O69" s="11"/>
    </row>
    <row r="70" spans="15:15">
      <c r="O70" s="14" t="s">
        <v>341</v>
      </c>
    </row>
    <row r="72" spans="15:15" ht="30.75">
      <c r="O72" s="9" t="s">
        <v>342</v>
      </c>
    </row>
    <row r="74" spans="15:15">
      <c r="O74" t="s">
        <v>343</v>
      </c>
    </row>
    <row r="75" spans="15:15">
      <c r="O75" s="11"/>
    </row>
    <row r="76" spans="15:15">
      <c r="O76" s="14" t="s">
        <v>344</v>
      </c>
    </row>
    <row r="77" spans="15:15">
      <c r="O77" s="11"/>
    </row>
    <row r="78" spans="15:15">
      <c r="O78" s="14" t="s">
        <v>345</v>
      </c>
    </row>
    <row r="79" spans="15:15">
      <c r="O79" s="11"/>
    </row>
    <row r="80" spans="15:15">
      <c r="O80" s="14" t="s">
        <v>346</v>
      </c>
    </row>
    <row r="82" spans="15:15">
      <c r="O82" t="s">
        <v>347</v>
      </c>
    </row>
    <row r="83" spans="15:15">
      <c r="O83" s="11"/>
    </row>
    <row r="84" spans="15:15">
      <c r="O84" s="14" t="s">
        <v>348</v>
      </c>
    </row>
    <row r="85" spans="15:15">
      <c r="O85" s="11"/>
    </row>
    <row r="86" spans="15:15">
      <c r="O86" s="14" t="s">
        <v>349</v>
      </c>
    </row>
    <row r="87" spans="15:15">
      <c r="O87" s="11"/>
    </row>
    <row r="88" spans="15:15">
      <c r="O88" s="14" t="s">
        <v>350</v>
      </c>
    </row>
    <row r="90" spans="15:15" ht="30.75">
      <c r="O90" s="9" t="s">
        <v>351</v>
      </c>
    </row>
    <row r="91" spans="15:15">
      <c r="O91" s="11"/>
    </row>
    <row r="92" spans="15:15">
      <c r="O92" s="11" t="s">
        <v>352</v>
      </c>
    </row>
    <row r="93" spans="15:15">
      <c r="O93" s="11"/>
    </row>
    <row r="94" spans="15:15">
      <c r="O94" s="11" t="s">
        <v>353</v>
      </c>
    </row>
    <row r="95" spans="15:15">
      <c r="O95" s="11"/>
    </row>
    <row r="96" spans="15:15">
      <c r="O96" s="11" t="s">
        <v>354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824A2-F8B7-45DB-862D-40E013A814C2}">
  <sheetPr codeName="Foglio11"/>
  <dimension ref="I1:P96"/>
  <sheetViews>
    <sheetView workbookViewId="0">
      <selection activeCell="I22" sqref="I22"/>
    </sheetView>
  </sheetViews>
  <sheetFormatPr defaultRowHeight="14.25"/>
  <cols>
    <col min="9" max="9" width="11.796875" customWidth="1"/>
  </cols>
  <sheetData>
    <row r="1" spans="9:16">
      <c r="I1" t="s">
        <v>48</v>
      </c>
    </row>
    <row r="2" spans="9:16">
      <c r="I2" t="s">
        <v>357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9:16">
      <c r="I3" t="s">
        <v>358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9:16">
      <c r="I4" t="s">
        <v>359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9:16">
      <c r="I5" t="s">
        <v>360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9:16">
      <c r="I6" t="s">
        <v>361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9:16">
      <c r="I7" t="s">
        <v>362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9:16">
      <c r="I8" t="s">
        <v>363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9:16">
      <c r="I9" t="s">
        <v>364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9:16">
      <c r="I10" t="s">
        <v>365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9:16">
      <c r="I11" t="s">
        <v>366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9:16">
      <c r="I12" t="s">
        <v>367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9:16">
      <c r="I13" t="s">
        <v>368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9:16">
      <c r="I14" t="s">
        <v>369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9:16">
      <c r="I15" t="s">
        <v>370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9:16">
      <c r="I16" t="s">
        <v>371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9:16">
      <c r="I17" t="s">
        <v>372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9:16">
      <c r="I18" t="s">
        <v>373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9:16">
      <c r="I19" t="s">
        <v>374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9:16">
      <c r="I20" t="s">
        <v>375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9:16">
      <c r="I21" t="s">
        <v>376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9:16">
      <c r="I22" t="s">
        <v>377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9:16">
      <c r="I23" t="s">
        <v>378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9:16">
      <c r="I24" t="s">
        <v>379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9:16">
      <c r="I25" t="s">
        <v>380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9:16">
      <c r="I26" t="s">
        <v>381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9:16">
      <c r="I27" t="s">
        <v>382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9:16">
      <c r="I28" t="s">
        <v>383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9:16">
      <c r="I29" t="s">
        <v>384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9:16">
      <c r="I30" t="s">
        <v>385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9:16">
      <c r="I31" t="s">
        <v>386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9:16">
      <c r="I32" t="s">
        <v>387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9:16">
      <c r="I33" t="s">
        <v>388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9:16">
      <c r="I34" t="s">
        <v>389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9:16">
      <c r="I35" t="s">
        <v>390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9:16">
      <c r="I36" t="s">
        <v>391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9:16">
      <c r="I37" t="s">
        <v>0</v>
      </c>
      <c r="J37" s="5">
        <v>8</v>
      </c>
      <c r="K37" s="5">
        <v>8.9975751599111131</v>
      </c>
      <c r="L37" s="5">
        <v>8.9975751599111131</v>
      </c>
      <c r="M37" s="5">
        <v>8.9975751599111131</v>
      </c>
      <c r="N37" s="5">
        <v>8.9975751599111131</v>
      </c>
      <c r="O37" s="4">
        <v>7</v>
      </c>
      <c r="P37" s="5">
        <v>0</v>
      </c>
    </row>
    <row r="38" spans="9:16">
      <c r="I38" t="s">
        <v>1</v>
      </c>
      <c r="J38" s="5">
        <v>8</v>
      </c>
      <c r="K38" s="5">
        <v>8.9975751599111131</v>
      </c>
      <c r="L38" s="5">
        <v>8.9975751599111131</v>
      </c>
      <c r="M38" s="5">
        <v>8.9975751599111131</v>
      </c>
      <c r="N38" s="5">
        <v>8.9975751599111131</v>
      </c>
      <c r="O38" s="4">
        <v>7</v>
      </c>
      <c r="P38" s="5">
        <v>0</v>
      </c>
    </row>
    <row r="39" spans="9:16">
      <c r="I39" t="s">
        <v>2</v>
      </c>
      <c r="J39" s="5">
        <v>14</v>
      </c>
      <c r="K39" s="5">
        <v>14.802545548263055</v>
      </c>
      <c r="L39" s="5">
        <v>14.802545548263055</v>
      </c>
      <c r="M39" s="5">
        <v>14.802545548263055</v>
      </c>
      <c r="N39" s="5">
        <v>14.802545548263055</v>
      </c>
      <c r="O39" s="4">
        <v>8</v>
      </c>
      <c r="P39" s="5">
        <v>0</v>
      </c>
    </row>
    <row r="40" spans="9:16">
      <c r="I40" t="s">
        <v>3</v>
      </c>
      <c r="J40" s="5">
        <v>14</v>
      </c>
      <c r="K40" s="5">
        <v>14.802545548263055</v>
      </c>
      <c r="L40" s="5">
        <v>14.802545548263055</v>
      </c>
      <c r="M40" s="5">
        <v>14.802545548263055</v>
      </c>
      <c r="N40" s="5">
        <v>14.802545548263055</v>
      </c>
      <c r="O40" s="4">
        <v>9</v>
      </c>
      <c r="P40" s="5">
        <v>0</v>
      </c>
    </row>
    <row r="41" spans="9:16">
      <c r="I41" t="s">
        <v>4</v>
      </c>
      <c r="J41" s="5">
        <v>18</v>
      </c>
      <c r="K41" s="5">
        <v>18.430630148014643</v>
      </c>
      <c r="L41" s="5">
        <v>18.430630148014643</v>
      </c>
      <c r="M41" s="5">
        <v>18.430630148014643</v>
      </c>
      <c r="N41" s="5">
        <v>18.430630148014643</v>
      </c>
      <c r="O41" s="4">
        <v>11</v>
      </c>
      <c r="P41" s="5">
        <v>0</v>
      </c>
    </row>
    <row r="42" spans="9:16">
      <c r="I42" t="s">
        <v>5</v>
      </c>
      <c r="J42" s="5">
        <v>18</v>
      </c>
      <c r="K42" s="5">
        <v>18.430630148014643</v>
      </c>
      <c r="L42" s="5">
        <v>18.430630148014643</v>
      </c>
      <c r="M42" s="5">
        <v>18.430630148014643</v>
      </c>
      <c r="N42" s="5">
        <v>18.430630148014643</v>
      </c>
      <c r="O42" s="4">
        <v>11</v>
      </c>
      <c r="P42" s="5">
        <v>0</v>
      </c>
    </row>
    <row r="43" spans="9:16">
      <c r="I43" t="s">
        <v>6</v>
      </c>
      <c r="J43" s="5">
        <v>17</v>
      </c>
      <c r="K43" s="5">
        <v>17.592874232195797</v>
      </c>
      <c r="L43" s="5">
        <v>17.592874232195797</v>
      </c>
      <c r="M43" s="5">
        <v>17.592874232195797</v>
      </c>
      <c r="N43" s="5">
        <v>17.592874232195797</v>
      </c>
      <c r="O43" s="4">
        <v>11</v>
      </c>
      <c r="P43" s="5">
        <v>0</v>
      </c>
    </row>
    <row r="44" spans="9:16">
      <c r="I44" t="s">
        <v>7</v>
      </c>
      <c r="J44" s="5">
        <v>17</v>
      </c>
      <c r="K44" s="5">
        <v>17.415907283776445</v>
      </c>
      <c r="L44" s="5">
        <v>17.415907283776445</v>
      </c>
      <c r="M44" s="5">
        <v>17.415907283776445</v>
      </c>
      <c r="N44" s="5">
        <v>17.415907283776445</v>
      </c>
      <c r="O44" s="4">
        <v>9</v>
      </c>
      <c r="P44" s="5">
        <v>0</v>
      </c>
    </row>
    <row r="45" spans="9:16">
      <c r="I45" t="s">
        <v>8</v>
      </c>
      <c r="J45" s="5">
        <v>16</v>
      </c>
      <c r="K45" s="5">
        <v>16.755118316376951</v>
      </c>
      <c r="L45" s="5">
        <v>16.755118316376951</v>
      </c>
      <c r="M45" s="5">
        <v>16.755118316376951</v>
      </c>
      <c r="N45" s="5">
        <v>16.755118316376951</v>
      </c>
      <c r="O45" s="4">
        <v>7</v>
      </c>
      <c r="P45" s="5">
        <v>6.5802592223330025</v>
      </c>
    </row>
    <row r="46" spans="9:16">
      <c r="I46" t="s">
        <v>9</v>
      </c>
      <c r="J46" s="5">
        <v>16</v>
      </c>
      <c r="K46" s="5">
        <v>16.586578365501378</v>
      </c>
      <c r="L46" s="5">
        <v>16.586578365501378</v>
      </c>
      <c r="M46" s="5">
        <v>16.586578365501378</v>
      </c>
      <c r="N46" s="5">
        <v>16.586578365501378</v>
      </c>
      <c r="O46" s="4">
        <v>9</v>
      </c>
      <c r="P46" s="5">
        <v>6.5227059346741134</v>
      </c>
    </row>
    <row r="47" spans="9:16">
      <c r="I47" t="s">
        <v>10</v>
      </c>
      <c r="J47" s="5">
        <v>14</v>
      </c>
      <c r="K47" s="5">
        <v>14.521102540860023</v>
      </c>
      <c r="L47" s="5">
        <v>14.521102540860023</v>
      </c>
      <c r="M47" s="5">
        <v>14.521102540860023</v>
      </c>
      <c r="N47" s="5">
        <v>14.521102540860023</v>
      </c>
      <c r="O47" s="4">
        <v>12</v>
      </c>
      <c r="P47" s="5">
        <v>3.2901296111665013</v>
      </c>
    </row>
    <row r="48" spans="9:16">
      <c r="I48" t="s">
        <v>11</v>
      </c>
      <c r="J48" s="5">
        <v>14</v>
      </c>
      <c r="K48" s="5">
        <v>14.685244619317372</v>
      </c>
      <c r="L48" s="5">
        <v>14.685244619317372</v>
      </c>
      <c r="M48" s="5">
        <v>14.685244619317372</v>
      </c>
      <c r="N48" s="5">
        <v>14.685244619317372</v>
      </c>
      <c r="O48" s="4">
        <v>11</v>
      </c>
      <c r="P48" s="5">
        <v>3.2901296111665013</v>
      </c>
    </row>
    <row r="49" spans="9:16">
      <c r="I49" t="s">
        <v>12</v>
      </c>
      <c r="J49" s="5">
        <v>14</v>
      </c>
      <c r="K49" s="5">
        <v>14.557260664716745</v>
      </c>
      <c r="L49" s="5">
        <v>14.557260664716745</v>
      </c>
      <c r="M49" s="5">
        <v>14.557260664716745</v>
      </c>
      <c r="N49" s="5">
        <v>14.557260664716745</v>
      </c>
      <c r="O49" s="4">
        <v>11</v>
      </c>
      <c r="P49" s="5">
        <v>3.9860980711897356</v>
      </c>
    </row>
    <row r="50" spans="9:16">
      <c r="I50" t="s">
        <v>13</v>
      </c>
      <c r="J50" s="5">
        <v>14</v>
      </c>
      <c r="K50" s="5">
        <v>14.685244619317372</v>
      </c>
      <c r="L50" s="5">
        <v>14.685244619317372</v>
      </c>
      <c r="M50" s="5">
        <v>14.685244619317372</v>
      </c>
      <c r="N50" s="5">
        <v>14.685244619317372</v>
      </c>
      <c r="O50" s="4">
        <v>11</v>
      </c>
      <c r="P50" s="5">
        <v>3.9860980711897356</v>
      </c>
    </row>
    <row r="51" spans="9:16">
      <c r="I51" t="s">
        <v>14</v>
      </c>
      <c r="J51" s="5">
        <v>12</v>
      </c>
      <c r="K51" s="5">
        <v>12.387668931033</v>
      </c>
      <c r="L51" s="5">
        <v>12.387668931033</v>
      </c>
      <c r="M51" s="5">
        <v>12.387668931033</v>
      </c>
      <c r="N51" s="5">
        <v>12.387668931033</v>
      </c>
      <c r="O51" s="4">
        <v>12</v>
      </c>
      <c r="P51" s="5">
        <v>1.4494902077053584</v>
      </c>
    </row>
    <row r="52" spans="9:16">
      <c r="I52" t="s">
        <v>15</v>
      </c>
      <c r="J52" s="5">
        <v>12</v>
      </c>
      <c r="K52" s="5">
        <v>12.373170254849676</v>
      </c>
      <c r="L52" s="5">
        <v>12.373170254849676</v>
      </c>
      <c r="M52" s="5">
        <v>12.373170254849676</v>
      </c>
      <c r="N52" s="5">
        <v>12.373170254849676</v>
      </c>
      <c r="O52" s="4">
        <v>12</v>
      </c>
      <c r="P52" s="5">
        <v>1.5157778696431035</v>
      </c>
    </row>
    <row r="53" spans="9:16">
      <c r="I53" t="s">
        <v>16</v>
      </c>
      <c r="J53" s="5">
        <v>6</v>
      </c>
      <c r="K53" s="5">
        <v>6.4613128679821461</v>
      </c>
      <c r="L53" s="5">
        <v>6.4613128679821461</v>
      </c>
      <c r="M53" s="5">
        <v>6.4613128679821461</v>
      </c>
      <c r="N53" s="5">
        <v>6.4613128679821461</v>
      </c>
      <c r="O53" s="4">
        <v>5</v>
      </c>
      <c r="P53" s="5">
        <v>2.4303254111037469</v>
      </c>
    </row>
    <row r="54" spans="9:16">
      <c r="I54" t="s">
        <v>17</v>
      </c>
      <c r="J54" s="5">
        <v>6</v>
      </c>
      <c r="K54" s="5">
        <v>6.4613128679821461</v>
      </c>
      <c r="L54" s="5">
        <v>6.4613128679821461</v>
      </c>
      <c r="M54" s="5">
        <v>6.4613128679821461</v>
      </c>
      <c r="N54" s="5">
        <v>6.4613128679821461</v>
      </c>
      <c r="O54" s="4">
        <v>5</v>
      </c>
      <c r="P54" s="5">
        <v>2.5001623482044293</v>
      </c>
    </row>
    <row r="55" spans="9:16">
      <c r="I55" t="s">
        <v>18</v>
      </c>
      <c r="J55" s="5">
        <v>5</v>
      </c>
      <c r="K55" s="5">
        <v>5.0531987662863287</v>
      </c>
      <c r="L55" s="5">
        <v>5.0531987662863287</v>
      </c>
      <c r="M55" s="5">
        <v>5.0531987662863287</v>
      </c>
      <c r="N55" s="5">
        <v>5.0531987662863287</v>
      </c>
      <c r="O55" s="4">
        <v>3</v>
      </c>
      <c r="P55" s="5">
        <v>2.1742353115580375</v>
      </c>
    </row>
    <row r="56" spans="9:16">
      <c r="I56" t="s">
        <v>19</v>
      </c>
      <c r="J56" s="5">
        <v>5</v>
      </c>
      <c r="K56" s="5">
        <v>5.0531987662863287</v>
      </c>
      <c r="L56" s="5">
        <v>5.0531987662863287</v>
      </c>
      <c r="M56" s="5">
        <v>5.0531987662863287</v>
      </c>
      <c r="N56" s="5">
        <v>5.0531987662863287</v>
      </c>
      <c r="O56" s="4">
        <v>3</v>
      </c>
      <c r="P56" s="5">
        <v>2.1742353115580375</v>
      </c>
    </row>
    <row r="57" spans="9:16">
      <c r="I57" t="s">
        <v>20</v>
      </c>
      <c r="J57" s="5">
        <v>5</v>
      </c>
      <c r="K57" s="5">
        <v>5.9933427815878506</v>
      </c>
      <c r="L57" s="5">
        <v>5.9933427815878506</v>
      </c>
      <c r="M57" s="5">
        <v>5.9933427815878506</v>
      </c>
      <c r="N57" s="5">
        <v>5.9933427815878506</v>
      </c>
      <c r="O57" s="4">
        <v>2</v>
      </c>
      <c r="P57" s="5">
        <v>2.5589896975739457</v>
      </c>
    </row>
    <row r="58" spans="9:16">
      <c r="I58" t="s">
        <v>21</v>
      </c>
      <c r="J58" s="5">
        <v>6</v>
      </c>
      <c r="K58" s="5">
        <v>6.0288063483428083</v>
      </c>
      <c r="L58" s="5">
        <v>6.0288063483428083</v>
      </c>
      <c r="M58" s="5">
        <v>6.0288063483428083</v>
      </c>
      <c r="N58" s="5">
        <v>6.0288063483428083</v>
      </c>
      <c r="O58" s="4">
        <v>3</v>
      </c>
      <c r="P58" s="5">
        <v>2.5589896975739457</v>
      </c>
    </row>
    <row r="59" spans="9:16">
      <c r="I59" t="s">
        <v>22</v>
      </c>
      <c r="J59" s="5">
        <v>6</v>
      </c>
      <c r="K59" s="5">
        <v>6.3327585213409483</v>
      </c>
      <c r="L59" s="5">
        <v>6.3327585213409483</v>
      </c>
      <c r="M59" s="5">
        <v>6.3327585213409483</v>
      </c>
      <c r="N59" s="5">
        <v>6.3327585213409483</v>
      </c>
      <c r="O59" s="4">
        <v>3</v>
      </c>
      <c r="P59" s="5">
        <v>1.4622798271851116</v>
      </c>
    </row>
    <row r="60" spans="9:16">
      <c r="I60" t="s">
        <v>23</v>
      </c>
      <c r="J60" s="5">
        <v>6</v>
      </c>
      <c r="K60" s="5">
        <v>6.3327585213409483</v>
      </c>
      <c r="L60" s="5">
        <v>6.3327585213409483</v>
      </c>
      <c r="M60" s="5">
        <v>6.3327585213409483</v>
      </c>
      <c r="N60" s="5">
        <v>6.3327585213409483</v>
      </c>
      <c r="O60" s="4">
        <v>3</v>
      </c>
      <c r="P60" s="5">
        <v>1.4709323705412363</v>
      </c>
    </row>
    <row r="61" spans="9:16">
      <c r="I61" t="s">
        <v>24</v>
      </c>
      <c r="J61" s="5">
        <v>7</v>
      </c>
      <c r="K61" s="5">
        <v>7.6728090307287991</v>
      </c>
      <c r="L61" s="5">
        <v>7.6728090307287991</v>
      </c>
      <c r="M61" s="5">
        <v>7.6728090307287991</v>
      </c>
      <c r="N61" s="5">
        <v>7.6728090307287991</v>
      </c>
      <c r="O61" s="4">
        <v>4</v>
      </c>
      <c r="P61" s="5">
        <v>3.2613529673370572</v>
      </c>
    </row>
    <row r="62" spans="9:16">
      <c r="I62" t="s">
        <v>25</v>
      </c>
      <c r="J62" s="5">
        <v>7</v>
      </c>
      <c r="K62" s="5">
        <v>7.6728090307287991</v>
      </c>
      <c r="L62" s="5">
        <v>7.6728090307287991</v>
      </c>
      <c r="M62" s="5">
        <v>7.6728090307287991</v>
      </c>
      <c r="N62" s="5">
        <v>7.6728090307287991</v>
      </c>
      <c r="O62" s="4">
        <v>5</v>
      </c>
      <c r="P62" s="5">
        <v>3.2613529673370572</v>
      </c>
    </row>
    <row r="63" spans="9:16">
      <c r="I63" t="s">
        <v>26</v>
      </c>
      <c r="J63" s="5">
        <v>8</v>
      </c>
      <c r="K63" s="5">
        <v>8.5046534618197693</v>
      </c>
      <c r="L63" s="5">
        <v>8.5046534618197693</v>
      </c>
      <c r="M63" s="5">
        <v>8.5046534618197693</v>
      </c>
      <c r="N63" s="5">
        <v>8.5046534618197693</v>
      </c>
      <c r="O63" s="4">
        <v>5</v>
      </c>
      <c r="P63" s="5">
        <v>1.087117655779019</v>
      </c>
    </row>
    <row r="64" spans="9:16">
      <c r="I64" t="s">
        <v>27</v>
      </c>
      <c r="J64" s="5">
        <v>8</v>
      </c>
      <c r="K64" s="5">
        <v>8.5837256530970176</v>
      </c>
      <c r="L64" s="5">
        <v>8.5837256530970176</v>
      </c>
      <c r="M64" s="5">
        <v>8.5837256530970176</v>
      </c>
      <c r="N64" s="5">
        <v>8.5837256530970176</v>
      </c>
      <c r="O64" s="4">
        <v>5</v>
      </c>
      <c r="P64" s="5">
        <v>1.0967098703888338</v>
      </c>
    </row>
    <row r="65" spans="9:16">
      <c r="I65" t="s">
        <v>28</v>
      </c>
      <c r="J65" s="5">
        <v>11</v>
      </c>
      <c r="K65" s="5">
        <v>11.506109798451659</v>
      </c>
      <c r="L65" s="5">
        <v>11.506109798451659</v>
      </c>
      <c r="M65" s="5">
        <v>11.506109798451659</v>
      </c>
      <c r="N65" s="5">
        <v>11.506109798451659</v>
      </c>
      <c r="O65" s="4">
        <v>5</v>
      </c>
      <c r="P65" s="5">
        <v>1.846469645957431</v>
      </c>
    </row>
    <row r="66" spans="9:16">
      <c r="I66" t="s">
        <v>29</v>
      </c>
      <c r="J66" s="5">
        <v>11</v>
      </c>
      <c r="K66" s="5">
        <v>11.580278963461017</v>
      </c>
      <c r="L66" s="5">
        <v>11.580278963461017</v>
      </c>
      <c r="M66" s="5">
        <v>11.580278963461017</v>
      </c>
      <c r="N66" s="5">
        <v>11.580278963461017</v>
      </c>
      <c r="O66" s="4">
        <v>5</v>
      </c>
      <c r="P66" s="5">
        <v>1.846469645957431</v>
      </c>
    </row>
    <row r="67" spans="9:16">
      <c r="I67" t="s">
        <v>30</v>
      </c>
      <c r="J67" s="5">
        <v>13</v>
      </c>
      <c r="K67" s="5">
        <v>13.620283370968716</v>
      </c>
      <c r="L67" s="5">
        <v>13.620283370968716</v>
      </c>
      <c r="M67" s="5">
        <v>13.620283370968716</v>
      </c>
      <c r="N67" s="5">
        <v>13.620283370968716</v>
      </c>
      <c r="O67" s="4">
        <v>6</v>
      </c>
      <c r="P67" s="5">
        <v>3.692939291914862</v>
      </c>
    </row>
    <row r="68" spans="9:16">
      <c r="I68" t="s">
        <v>31</v>
      </c>
      <c r="J68" s="5">
        <v>13</v>
      </c>
      <c r="K68" s="5">
        <v>13.707344841379737</v>
      </c>
      <c r="L68" s="5">
        <v>13.707344841379737</v>
      </c>
      <c r="M68" s="5">
        <v>13.707344841379737</v>
      </c>
      <c r="N68" s="5">
        <v>13.707344841379737</v>
      </c>
      <c r="O68" s="4">
        <v>5</v>
      </c>
      <c r="P68" s="5">
        <v>3.789444674107759</v>
      </c>
    </row>
    <row r="69" spans="9:16">
      <c r="I69" t="s">
        <v>32</v>
      </c>
      <c r="J69" s="5">
        <v>12</v>
      </c>
      <c r="K69" s="5">
        <v>12.879085891840422</v>
      </c>
      <c r="L69" s="5">
        <v>12.879085891840422</v>
      </c>
      <c r="M69" s="5">
        <v>12.879085891840422</v>
      </c>
      <c r="N69" s="5">
        <v>12.879085891840422</v>
      </c>
      <c r="O69" s="4">
        <v>7</v>
      </c>
      <c r="P69" s="5">
        <v>1.1078817875744587</v>
      </c>
    </row>
    <row r="70" spans="9:16">
      <c r="I70" t="s">
        <v>33</v>
      </c>
      <c r="J70" s="5">
        <v>13</v>
      </c>
      <c r="K70" s="5">
        <v>13.010594597339134</v>
      </c>
      <c r="L70" s="5">
        <v>13.010594597339134</v>
      </c>
      <c r="M70" s="5">
        <v>13.010594597339134</v>
      </c>
      <c r="N70" s="5">
        <v>13.010594597339134</v>
      </c>
      <c r="O70" s="4">
        <v>6</v>
      </c>
      <c r="P70" s="5">
        <v>1.1114198388441234</v>
      </c>
    </row>
    <row r="71" spans="9:16">
      <c r="I71" t="s">
        <v>34</v>
      </c>
      <c r="J71" s="5">
        <v>14</v>
      </c>
      <c r="K71" s="5">
        <v>14.249832045343291</v>
      </c>
      <c r="L71" s="5">
        <v>14.249832045343291</v>
      </c>
      <c r="M71" s="5">
        <v>14.249832045343291</v>
      </c>
      <c r="N71" s="5">
        <v>14.249832045343291</v>
      </c>
      <c r="O71" s="4">
        <v>7</v>
      </c>
      <c r="P71" s="5">
        <v>2.5850575043404032</v>
      </c>
    </row>
    <row r="72" spans="9:16">
      <c r="I72" t="s">
        <v>35</v>
      </c>
      <c r="J72" s="5">
        <v>14</v>
      </c>
      <c r="K72" s="5">
        <v>14.200022385742072</v>
      </c>
      <c r="L72" s="5">
        <v>14.200022385742072</v>
      </c>
      <c r="M72" s="5">
        <v>14.200022385742072</v>
      </c>
      <c r="N72" s="5">
        <v>14.200022385742072</v>
      </c>
      <c r="O72" s="4">
        <v>6</v>
      </c>
      <c r="P72" s="5">
        <v>2.5589896975739457</v>
      </c>
    </row>
    <row r="73" spans="9:16">
      <c r="I73" t="s">
        <v>36</v>
      </c>
      <c r="J73" s="5">
        <v>12</v>
      </c>
      <c r="K73" s="5">
        <v>12.199492294586488</v>
      </c>
      <c r="L73" s="5">
        <v>12.199492294586488</v>
      </c>
      <c r="M73" s="5">
        <v>12.199492294586488</v>
      </c>
      <c r="N73" s="5">
        <v>12.199492294586488</v>
      </c>
      <c r="O73" s="4">
        <v>6</v>
      </c>
      <c r="P73" s="5">
        <v>0.36773309263530907</v>
      </c>
    </row>
    <row r="74" spans="9:16">
      <c r="I74" t="s">
        <v>37</v>
      </c>
      <c r="J74" s="5">
        <v>12</v>
      </c>
      <c r="K74" s="5">
        <v>12.14221409738516</v>
      </c>
      <c r="L74" s="5">
        <v>12.14221409738516</v>
      </c>
      <c r="M74" s="5">
        <v>12.14221409738516</v>
      </c>
      <c r="N74" s="5">
        <v>12.14221409738516</v>
      </c>
      <c r="O74" s="4">
        <v>5</v>
      </c>
      <c r="P74" s="5">
        <v>0.36773309263530907</v>
      </c>
    </row>
    <row r="75" spans="9:16">
      <c r="I75" t="s">
        <v>38</v>
      </c>
      <c r="J75" s="5">
        <v>9</v>
      </c>
      <c r="K75" s="5">
        <v>9.1531190046731279</v>
      </c>
      <c r="L75" s="5">
        <v>9.1531190046731279</v>
      </c>
      <c r="M75" s="5">
        <v>9.1531190046731279</v>
      </c>
      <c r="N75" s="5">
        <v>9.1531190046731279</v>
      </c>
      <c r="O75" s="4">
        <v>5</v>
      </c>
      <c r="P75" s="5">
        <v>1.4709323705412363</v>
      </c>
    </row>
    <row r="76" spans="9:16">
      <c r="I76" t="s">
        <v>39</v>
      </c>
      <c r="J76" s="5">
        <v>9</v>
      </c>
      <c r="K76" s="5">
        <v>9.1531190046731279</v>
      </c>
      <c r="L76" s="5">
        <v>9.1531190046731279</v>
      </c>
      <c r="M76" s="5">
        <v>9.1531190046731279</v>
      </c>
      <c r="N76" s="5">
        <v>9.1531190046731279</v>
      </c>
      <c r="O76" s="4">
        <v>4</v>
      </c>
      <c r="P76" s="5">
        <v>1.4494902077053584</v>
      </c>
    </row>
    <row r="77" spans="9:16">
      <c r="I77" t="s">
        <v>40</v>
      </c>
      <c r="J77" s="5">
        <v>8</v>
      </c>
      <c r="K77" s="5">
        <v>8.3841041262808087</v>
      </c>
      <c r="L77" s="5">
        <v>8.3841041262808087</v>
      </c>
      <c r="M77" s="5">
        <v>8.3841041262808087</v>
      </c>
      <c r="N77" s="5">
        <v>8.3841041262808087</v>
      </c>
      <c r="O77" s="4">
        <v>4</v>
      </c>
      <c r="P77" s="5">
        <v>2.6526112718754313</v>
      </c>
    </row>
    <row r="78" spans="9:16">
      <c r="I78" t="s">
        <v>41</v>
      </c>
      <c r="J78" s="5">
        <v>8</v>
      </c>
      <c r="K78" s="5">
        <v>8.4363958360081313</v>
      </c>
      <c r="L78" s="5">
        <v>8.4363958360081313</v>
      </c>
      <c r="M78" s="5">
        <v>8.4363958360081313</v>
      </c>
      <c r="N78" s="5">
        <v>8.4363958360081313</v>
      </c>
      <c r="O78" s="4">
        <v>3</v>
      </c>
      <c r="P78" s="5">
        <v>2.6526112718754313</v>
      </c>
    </row>
    <row r="79" spans="9:16">
      <c r="I79" t="s">
        <v>42</v>
      </c>
      <c r="J79" s="5">
        <v>3</v>
      </c>
      <c r="K79" s="5">
        <v>3.7740944913689654</v>
      </c>
      <c r="L79" s="5">
        <v>3.7740944913689654</v>
      </c>
      <c r="M79" s="5">
        <v>3.7740944913689654</v>
      </c>
      <c r="N79" s="5">
        <v>3.7740944913689654</v>
      </c>
      <c r="O79" s="4">
        <v>2</v>
      </c>
      <c r="P79" s="5">
        <v>0</v>
      </c>
    </row>
    <row r="80" spans="9:16">
      <c r="I80" t="s">
        <v>43</v>
      </c>
      <c r="J80" s="5">
        <v>3</v>
      </c>
      <c r="K80" s="5">
        <v>3.7740944913689654</v>
      </c>
      <c r="L80" s="5">
        <v>3.7740944913689654</v>
      </c>
      <c r="M80" s="5">
        <v>3.7740944913689654</v>
      </c>
      <c r="N80" s="5">
        <v>3.7740944913689654</v>
      </c>
      <c r="O80" s="4">
        <v>2</v>
      </c>
      <c r="P80" s="5">
        <v>0</v>
      </c>
    </row>
    <row r="81" spans="9:16">
      <c r="I81" t="s">
        <v>44</v>
      </c>
      <c r="J81" s="5">
        <v>2</v>
      </c>
      <c r="K81" s="5">
        <v>2.6421450866405651</v>
      </c>
      <c r="L81" s="5">
        <v>2.6421450866405651</v>
      </c>
      <c r="M81" s="5">
        <v>2.6421450866405651</v>
      </c>
      <c r="N81" s="5">
        <v>2.6421450866405651</v>
      </c>
      <c r="O81" s="4">
        <v>2</v>
      </c>
      <c r="P81" s="5">
        <v>0.75788893482155173</v>
      </c>
    </row>
    <row r="82" spans="9:16">
      <c r="I82" t="s">
        <v>45</v>
      </c>
      <c r="J82" s="5">
        <v>2</v>
      </c>
      <c r="K82" s="5">
        <v>2.6421450866405651</v>
      </c>
      <c r="L82" s="5">
        <v>2.6421450866405651</v>
      </c>
      <c r="M82" s="5">
        <v>2.6421450866405651</v>
      </c>
      <c r="N82" s="5">
        <v>2.6421450866405651</v>
      </c>
      <c r="O82" s="4">
        <v>2</v>
      </c>
      <c r="P82" s="5">
        <v>0.75788893482155173</v>
      </c>
    </row>
    <row r="83" spans="9:16">
      <c r="I83" t="s">
        <v>46</v>
      </c>
      <c r="J83" s="5">
        <v>0</v>
      </c>
      <c r="K83" s="5">
        <v>0.5712746133276897</v>
      </c>
      <c r="L83" s="5">
        <v>0.5712746133276897</v>
      </c>
      <c r="M83" s="5">
        <v>0.5712746133276897</v>
      </c>
      <c r="N83" s="5">
        <v>0.5712746133276897</v>
      </c>
      <c r="O83" s="4">
        <v>1</v>
      </c>
      <c r="P83" s="5">
        <v>0.37894446741077586</v>
      </c>
    </row>
    <row r="84" spans="9:16">
      <c r="I84" t="s">
        <v>47</v>
      </c>
      <c r="J84" s="5">
        <v>1</v>
      </c>
      <c r="K84" s="5">
        <v>0.5712746133276897</v>
      </c>
      <c r="L84" s="5">
        <v>0.5712746133276897</v>
      </c>
      <c r="M84" s="5">
        <v>0.5712746133276897</v>
      </c>
      <c r="N84" s="5">
        <v>0.5712746133276897</v>
      </c>
      <c r="O84" s="4">
        <v>1</v>
      </c>
      <c r="P84" s="5">
        <v>0.37894446741077586</v>
      </c>
    </row>
    <row r="85" spans="9:16">
      <c r="I85" t="s">
        <v>392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</row>
    <row r="86" spans="9:16">
      <c r="I86" t="s">
        <v>393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</row>
    <row r="87" spans="9:16">
      <c r="I87" t="s">
        <v>394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</row>
    <row r="88" spans="9:16">
      <c r="I88" t="s">
        <v>395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</row>
    <row r="89" spans="9:16">
      <c r="I89" t="s">
        <v>396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</row>
    <row r="90" spans="9:16">
      <c r="I90" t="s">
        <v>397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</row>
    <row r="91" spans="9:16">
      <c r="I91" t="s">
        <v>398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</row>
    <row r="92" spans="9:16">
      <c r="I92" t="s">
        <v>399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</row>
    <row r="93" spans="9:16">
      <c r="I93" t="s">
        <v>400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</row>
    <row r="94" spans="9:16">
      <c r="I94" t="s">
        <v>401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9:16">
      <c r="I95" t="s">
        <v>402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9:16">
      <c r="I96" t="s">
        <v>403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Requisiti</vt:lpstr>
      <vt:lpstr>Turni</vt:lpstr>
      <vt:lpstr>Risorse</vt:lpstr>
      <vt:lpstr>storico</vt:lpstr>
      <vt:lpstr>settimana</vt:lpstr>
      <vt:lpstr>config</vt:lpstr>
      <vt:lpstr>Foglio12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Wiliam De salvatore</dc:creator>
  <cp:lastModifiedBy>Wiliam De salvatore</cp:lastModifiedBy>
  <dcterms:created xsi:type="dcterms:W3CDTF">2015-06-05T18:19:34Z</dcterms:created>
  <dcterms:modified xsi:type="dcterms:W3CDTF">2025-12-24T13:19:13Z</dcterms:modified>
</cp:coreProperties>
</file>