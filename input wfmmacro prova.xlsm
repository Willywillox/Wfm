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myoffice.accenture.com/personal/wiliam_de_salvatore_accenture_com/Documents/Desktop/Matrici WIND Dealer/ROLLING/new wfm/"/>
    </mc:Choice>
  </mc:AlternateContent>
  <xr:revisionPtr revIDLastSave="12303" documentId="13_ncr:1_{C5E63AC4-88DC-4640-ADF8-1356214CCB69}" xr6:coauthVersionLast="47" xr6:coauthVersionMax="47" xr10:uidLastSave="{9DE761A7-B1B3-4D35-9586-3EC73DB85023}"/>
  <bookViews>
    <workbookView xWindow="-120" yWindow="-120" windowWidth="29040" windowHeight="17520" activeTab="2" xr2:uid="{00000000-000D-0000-FFFF-FFFF00000000}"/>
  </bookViews>
  <sheets>
    <sheet name="config" sheetId="567" r:id="rId1"/>
    <sheet name="Requisiti" sheetId="132" r:id="rId2"/>
    <sheet name="Turni" sheetId="1" r:id="rId3"/>
    <sheet name="Risorse" sheetId="3" r:id="rId4"/>
    <sheet name="storico" sheetId="566" r:id="rId5"/>
    <sheet name="settimana" sheetId="530" r:id="rId6"/>
    <sheet name="istru" sheetId="76" state="hidden" r:id="rId7"/>
    <sheet name="Foglio12" sheetId="128" state="hidden" r:id="rId8"/>
  </sheets>
  <definedNames>
    <definedName name="_xlnm._FilterDatabase" localSheetId="3" hidden="1">Risorse!$A$1:$AE$29</definedName>
    <definedName name="_xlnm._FilterDatabase" localSheetId="2" hidden="1">Turni!$A$1:$F$105</definedName>
    <definedName name="solver_adj" localSheetId="1" hidden="1">Requisiti!$B$2:$B$89</definedName>
    <definedName name="solver_eng" localSheetId="1" hidden="1">1</definedName>
    <definedName name="solver_lhs1" localSheetId="1" hidden="1">Requisiti!$B$91</definedName>
    <definedName name="solver_lhs10" localSheetId="1" hidden="1">Requisiti!$B$100</definedName>
    <definedName name="solver_lhs11" localSheetId="1" hidden="1">Requisiti!$B$101</definedName>
    <definedName name="solver_lhs12" localSheetId="1" hidden="1">Requisiti!$B$102</definedName>
    <definedName name="solver_lhs13" localSheetId="1" hidden="1">Requisiti!$B$103</definedName>
    <definedName name="solver_lhs14" localSheetId="1" hidden="1">Requisiti!$B$104</definedName>
    <definedName name="solver_lhs15" localSheetId="1" hidden="1">Requisiti!$B$105</definedName>
    <definedName name="solver_lhs16" localSheetId="1" hidden="1">Requisiti!$B$106</definedName>
    <definedName name="solver_lhs17" localSheetId="1" hidden="1">Requisiti!$B$107</definedName>
    <definedName name="solver_lhs18" localSheetId="1" hidden="1">Requisiti!$B$108</definedName>
    <definedName name="solver_lhs19" localSheetId="1" hidden="1">Requisiti!$B$109</definedName>
    <definedName name="solver_lhs2" localSheetId="1" hidden="1">Requisiti!$B$92</definedName>
    <definedName name="solver_lhs20" localSheetId="1" hidden="1">Requisiti!$B$110</definedName>
    <definedName name="solver_lhs21" localSheetId="1" hidden="1">Requisiti!$B$111</definedName>
    <definedName name="solver_lhs22" localSheetId="1" hidden="1">Requisiti!$B$112</definedName>
    <definedName name="solver_lhs23" localSheetId="1" hidden="1">Requisiti!$B$113</definedName>
    <definedName name="solver_lhs24" localSheetId="1" hidden="1">Requisiti!$B$114</definedName>
    <definedName name="solver_lhs25" localSheetId="1" hidden="1">Requisiti!$B$115</definedName>
    <definedName name="solver_lhs26" localSheetId="1" hidden="1">Requisiti!$B$116</definedName>
    <definedName name="solver_lhs27" localSheetId="1" hidden="1">Requisiti!$B$117</definedName>
    <definedName name="solver_lhs28" localSheetId="1" hidden="1">Requisiti!$B$118</definedName>
    <definedName name="solver_lhs29" localSheetId="1" hidden="1">Requisiti!$B$119</definedName>
    <definedName name="solver_lhs3" localSheetId="1" hidden="1">Requisiti!$B$93</definedName>
    <definedName name="solver_lhs30" localSheetId="1" hidden="1">Requisiti!$B$120</definedName>
    <definedName name="solver_lhs31" localSheetId="1" hidden="1">Requisiti!$B$121</definedName>
    <definedName name="solver_lhs32" localSheetId="1" hidden="1">Requisiti!$B$122</definedName>
    <definedName name="solver_lhs33" localSheetId="1" hidden="1">Requisiti!$B$123</definedName>
    <definedName name="solver_lhs34" localSheetId="1" hidden="1">Requisiti!$B$124</definedName>
    <definedName name="solver_lhs35" localSheetId="1" hidden="1">Requisiti!$B$125</definedName>
    <definedName name="solver_lhs36" localSheetId="1" hidden="1">Requisiti!$B$126</definedName>
    <definedName name="solver_lhs37" localSheetId="1" hidden="1">Requisiti!$B$127</definedName>
    <definedName name="solver_lhs38" localSheetId="1" hidden="1">Requisiti!$B$128</definedName>
    <definedName name="solver_lhs39" localSheetId="1" hidden="1">Requisiti!$B$129</definedName>
    <definedName name="solver_lhs4" localSheetId="1" hidden="1">Requisiti!$B$94</definedName>
    <definedName name="solver_lhs40" localSheetId="1" hidden="1">Requisiti!$B$130</definedName>
    <definedName name="solver_lhs41" localSheetId="1" hidden="1">Requisiti!$B$131</definedName>
    <definedName name="solver_lhs42" localSheetId="1" hidden="1">Requisiti!$B$132</definedName>
    <definedName name="solver_lhs43" localSheetId="1" hidden="1">Requisiti!$B$133</definedName>
    <definedName name="solver_lhs44" localSheetId="1" hidden="1">Requisiti!$B$134</definedName>
    <definedName name="solver_lhs45" localSheetId="1" hidden="1">Requisiti!$B$135</definedName>
    <definedName name="solver_lhs46" localSheetId="1" hidden="1">Requisiti!$B$136</definedName>
    <definedName name="solver_lhs47" localSheetId="1" hidden="1">Requisiti!$B$137</definedName>
    <definedName name="solver_lhs48" localSheetId="1" hidden="1">Requisiti!$B$138</definedName>
    <definedName name="solver_lhs49" localSheetId="1" hidden="1">Requisiti!$B$2:$B$89</definedName>
    <definedName name="solver_lhs5" localSheetId="1" hidden="1">Requisiti!$B$95</definedName>
    <definedName name="solver_lhs6" localSheetId="1" hidden="1">Requisiti!$B$96</definedName>
    <definedName name="solver_lhs7" localSheetId="1" hidden="1">Requisiti!$B$97</definedName>
    <definedName name="solver_lhs8" localSheetId="1" hidden="1">Requisiti!$B$98</definedName>
    <definedName name="solver_lhs9" localSheetId="1" hidden="1">Requisiti!$B$99</definedName>
    <definedName name="solver_lin" localSheetId="1" hidden="1">1</definedName>
    <definedName name="solver_neg" localSheetId="1" hidden="1">1</definedName>
    <definedName name="solver_num" localSheetId="1" hidden="1">49</definedName>
    <definedName name="solver_opt" localSheetId="1" hidden="1">Requisiti!$D$90</definedName>
    <definedName name="solver_rel1" localSheetId="1" hidden="1">3</definedName>
    <definedName name="solver_rel10" localSheetId="1" hidden="1">3</definedName>
    <definedName name="solver_rel11" localSheetId="1" hidden="1">3</definedName>
    <definedName name="solver_rel12" localSheetId="1" hidden="1">3</definedName>
    <definedName name="solver_rel13" localSheetId="1" hidden="1">3</definedName>
    <definedName name="solver_rel14" localSheetId="1" hidden="1">3</definedName>
    <definedName name="solver_rel15" localSheetId="1" hidden="1">3</definedName>
    <definedName name="solver_rel16" localSheetId="1" hidden="1">3</definedName>
    <definedName name="solver_rel17" localSheetId="1" hidden="1">3</definedName>
    <definedName name="solver_rel18" localSheetId="1" hidden="1">3</definedName>
    <definedName name="solver_rel19" localSheetId="1" hidden="1">3</definedName>
    <definedName name="solver_rel2" localSheetId="1" hidden="1">3</definedName>
    <definedName name="solver_rel20" localSheetId="1" hidden="1">3</definedName>
    <definedName name="solver_rel21" localSheetId="1" hidden="1">3</definedName>
    <definedName name="solver_rel22" localSheetId="1" hidden="1">3</definedName>
    <definedName name="solver_rel23" localSheetId="1" hidden="1">3</definedName>
    <definedName name="solver_rel24" localSheetId="1" hidden="1">3</definedName>
    <definedName name="solver_rel25" localSheetId="1" hidden="1">3</definedName>
    <definedName name="solver_rel26" localSheetId="1" hidden="1">3</definedName>
    <definedName name="solver_rel27" localSheetId="1" hidden="1">3</definedName>
    <definedName name="solver_rel28" localSheetId="1" hidden="1">3</definedName>
    <definedName name="solver_rel29" localSheetId="1" hidden="1">3</definedName>
    <definedName name="solver_rel3" localSheetId="1" hidden="1">3</definedName>
    <definedName name="solver_rel30" localSheetId="1" hidden="1">3</definedName>
    <definedName name="solver_rel31" localSheetId="1" hidden="1">3</definedName>
    <definedName name="solver_rel32" localSheetId="1" hidden="1">3</definedName>
    <definedName name="solver_rel33" localSheetId="1" hidden="1">3</definedName>
    <definedName name="solver_rel34" localSheetId="1" hidden="1">3</definedName>
    <definedName name="solver_rel35" localSheetId="1" hidden="1">3</definedName>
    <definedName name="solver_rel36" localSheetId="1" hidden="1">3</definedName>
    <definedName name="solver_rel37" localSheetId="1" hidden="1">3</definedName>
    <definedName name="solver_rel38" localSheetId="1" hidden="1">3</definedName>
    <definedName name="solver_rel39" localSheetId="1" hidden="1">3</definedName>
    <definedName name="solver_rel4" localSheetId="1" hidden="1">3</definedName>
    <definedName name="solver_rel40" localSheetId="1" hidden="1">3</definedName>
    <definedName name="solver_rel41" localSheetId="1" hidden="1">3</definedName>
    <definedName name="solver_rel42" localSheetId="1" hidden="1">3</definedName>
    <definedName name="solver_rel43" localSheetId="1" hidden="1">3</definedName>
    <definedName name="solver_rel44" localSheetId="1" hidden="1">3</definedName>
    <definedName name="solver_rel45" localSheetId="1" hidden="1">3</definedName>
    <definedName name="solver_rel46" localSheetId="1" hidden="1">3</definedName>
    <definedName name="solver_rel47" localSheetId="1" hidden="1">3</definedName>
    <definedName name="solver_rel48" localSheetId="1" hidden="1">3</definedName>
    <definedName name="solver_rel49" localSheetId="1" hidden="1">4</definedName>
    <definedName name="solver_rel5" localSheetId="1" hidden="1">3</definedName>
    <definedName name="solver_rel6" localSheetId="1" hidden="1">3</definedName>
    <definedName name="solver_rel7" localSheetId="1" hidden="1">3</definedName>
    <definedName name="solver_rel8" localSheetId="1" hidden="1">3</definedName>
    <definedName name="solver_rel9" localSheetId="1" hidden="1">3</definedName>
    <definedName name="solver_rhs1" localSheetId="1" hidden="1">Requisiti!$C$91</definedName>
    <definedName name="solver_rhs10" localSheetId="1" hidden="1">Requisiti!$C$100</definedName>
    <definedName name="solver_rhs11" localSheetId="1" hidden="1">Requisiti!$C$101</definedName>
    <definedName name="solver_rhs12" localSheetId="1" hidden="1">Requisiti!$C$102</definedName>
    <definedName name="solver_rhs13" localSheetId="1" hidden="1">Requisiti!$C$103</definedName>
    <definedName name="solver_rhs14" localSheetId="1" hidden="1">Requisiti!$C$104</definedName>
    <definedName name="solver_rhs15" localSheetId="1" hidden="1">Requisiti!$C$105</definedName>
    <definedName name="solver_rhs16" localSheetId="1" hidden="1">Requisiti!$C$106</definedName>
    <definedName name="solver_rhs17" localSheetId="1" hidden="1">Requisiti!$C$107</definedName>
    <definedName name="solver_rhs18" localSheetId="1" hidden="1">Requisiti!$C$108</definedName>
    <definedName name="solver_rhs19" localSheetId="1" hidden="1">Requisiti!$C$109</definedName>
    <definedName name="solver_rhs2" localSheetId="1" hidden="1">Requisiti!$C$92</definedName>
    <definedName name="solver_rhs20" localSheetId="1" hidden="1">Requisiti!$C$110</definedName>
    <definedName name="solver_rhs21" localSheetId="1" hidden="1">Requisiti!$C$111</definedName>
    <definedName name="solver_rhs22" localSheetId="1" hidden="1">Requisiti!$C$112</definedName>
    <definedName name="solver_rhs23" localSheetId="1" hidden="1">Requisiti!$C$113</definedName>
    <definedName name="solver_rhs24" localSheetId="1" hidden="1">Requisiti!$C$114</definedName>
    <definedName name="solver_rhs25" localSheetId="1" hidden="1">Requisiti!$C$115</definedName>
    <definedName name="solver_rhs26" localSheetId="1" hidden="1">Requisiti!$C$116</definedName>
    <definedName name="solver_rhs27" localSheetId="1" hidden="1">Requisiti!$C$117</definedName>
    <definedName name="solver_rhs28" localSheetId="1" hidden="1">Requisiti!$C$118</definedName>
    <definedName name="solver_rhs29" localSheetId="1" hidden="1">Requisiti!$C$119</definedName>
    <definedName name="solver_rhs3" localSheetId="1" hidden="1">Requisiti!$C$93</definedName>
    <definedName name="solver_rhs30" localSheetId="1" hidden="1">Requisiti!$C$120</definedName>
    <definedName name="solver_rhs31" localSheetId="1" hidden="1">Requisiti!$C$121</definedName>
    <definedName name="solver_rhs32" localSheetId="1" hidden="1">Requisiti!$C$122</definedName>
    <definedName name="solver_rhs33" localSheetId="1" hidden="1">Requisiti!$C$123</definedName>
    <definedName name="solver_rhs34" localSheetId="1" hidden="1">Requisiti!$C$124</definedName>
    <definedName name="solver_rhs35" localSheetId="1" hidden="1">Requisiti!$C$125</definedName>
    <definedName name="solver_rhs36" localSheetId="1" hidden="1">Requisiti!$C$126</definedName>
    <definedName name="solver_rhs37" localSheetId="1" hidden="1">Requisiti!$C$127</definedName>
    <definedName name="solver_rhs38" localSheetId="1" hidden="1">Requisiti!$C$128</definedName>
    <definedName name="solver_rhs39" localSheetId="1" hidden="1">Requisiti!$C$129</definedName>
    <definedName name="solver_rhs4" localSheetId="1" hidden="1">Requisiti!$C$94</definedName>
    <definedName name="solver_rhs40" localSheetId="1" hidden="1">Requisiti!$C$130</definedName>
    <definedName name="solver_rhs41" localSheetId="1" hidden="1">Requisiti!$C$131</definedName>
    <definedName name="solver_rhs42" localSheetId="1" hidden="1">Requisiti!$C$132</definedName>
    <definedName name="solver_rhs43" localSheetId="1" hidden="1">Requisiti!$C$133</definedName>
    <definedName name="solver_rhs44" localSheetId="1" hidden="1">Requisiti!$C$134</definedName>
    <definedName name="solver_rhs45" localSheetId="1" hidden="1">Requisiti!$C$135</definedName>
    <definedName name="solver_rhs46" localSheetId="1" hidden="1">Requisiti!$C$136</definedName>
    <definedName name="solver_rhs47" localSheetId="1" hidden="1">Requisiti!$C$137</definedName>
    <definedName name="solver_rhs48" localSheetId="1" hidden="1">Requisiti!$C$138</definedName>
    <definedName name="solver_rhs49" localSheetId="1" hidden="1">"intero"</definedName>
    <definedName name="solver_rhs5" localSheetId="1" hidden="1">Requisiti!$C$95</definedName>
    <definedName name="solver_rhs6" localSheetId="1" hidden="1">Requisiti!$C$96</definedName>
    <definedName name="solver_rhs7" localSheetId="1" hidden="1">Requisiti!$C$97</definedName>
    <definedName name="solver_rhs8" localSheetId="1" hidden="1">Requisiti!$C$98</definedName>
    <definedName name="solver_rhs9" localSheetId="1" hidden="1">Requisiti!$C$99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9" i="566" l="1"/>
  <c r="Y29" i="566"/>
  <c r="Z28" i="566"/>
  <c r="Y28" i="566"/>
  <c r="Z27" i="566"/>
  <c r="Y27" i="566"/>
  <c r="Z26" i="566"/>
  <c r="Y26" i="566"/>
  <c r="Z25" i="566"/>
  <c r="Y25" i="566"/>
  <c r="Z24" i="566"/>
  <c r="Y24" i="566"/>
  <c r="Z23" i="566"/>
  <c r="Y23" i="566"/>
  <c r="Z22" i="566"/>
  <c r="Y22" i="566"/>
  <c r="Z21" i="566"/>
  <c r="Y21" i="566"/>
  <c r="Z20" i="566"/>
  <c r="Y20" i="566"/>
  <c r="Z19" i="566"/>
  <c r="Y19" i="566"/>
  <c r="Z18" i="566"/>
  <c r="Y18" i="566"/>
  <c r="Z17" i="566"/>
  <c r="Y17" i="566"/>
  <c r="Z16" i="566"/>
  <c r="Y16" i="566"/>
  <c r="Z14" i="566"/>
  <c r="Y14" i="566"/>
  <c r="Z13" i="566"/>
  <c r="Y13" i="566"/>
  <c r="Z12" i="566"/>
  <c r="Y12" i="566"/>
  <c r="Z11" i="566"/>
  <c r="Y11" i="566"/>
  <c r="Z10" i="566"/>
  <c r="Y10" i="566"/>
  <c r="Z9" i="566"/>
  <c r="Y9" i="566"/>
  <c r="Z8" i="566"/>
  <c r="Y8" i="566"/>
  <c r="Z7" i="566"/>
  <c r="Y7" i="566"/>
  <c r="Z6" i="566"/>
  <c r="Y6" i="566"/>
  <c r="Z5" i="566"/>
  <c r="Y5" i="566"/>
  <c r="Z4" i="566"/>
  <c r="Y4" i="566"/>
  <c r="Z3" i="566"/>
  <c r="Y3" i="566"/>
  <c r="Y1" i="566"/>
  <c r="S1" i="566"/>
  <c r="U1" i="566" s="1"/>
  <c r="W1" i="566" s="1"/>
  <c r="Q1" i="566"/>
  <c r="P29" i="566"/>
  <c r="O29" i="566"/>
  <c r="Q29" i="566" s="1"/>
  <c r="P28" i="566"/>
  <c r="O28" i="566"/>
  <c r="R28" i="566" s="1"/>
  <c r="P27" i="566"/>
  <c r="O27" i="566"/>
  <c r="R27" i="566" s="1"/>
  <c r="V18" i="3" a="1"/>
  <c r="V14" i="3" a="1"/>
  <c r="V17" i="3" a="1"/>
  <c r="V16" i="3" a="1"/>
  <c r="X18" i="3" a="1"/>
  <c r="AD11" i="3" a="1"/>
  <c r="Y7" i="3" a="1"/>
  <c r="X19" i="3" a="1"/>
  <c r="V8" i="3" a="1"/>
  <c r="AC18" i="3" a="1"/>
  <c r="S17" i="3" a="1"/>
  <c r="V10" i="3" a="1"/>
  <c r="Z12" i="3" a="1"/>
  <c r="AA18" i="3" a="1"/>
  <c r="T16" i="3" a="1"/>
  <c r="Y18" i="3" a="1"/>
  <c r="Z11" i="3" a="1"/>
  <c r="Y9" i="3" a="1"/>
  <c r="AA3" i="3" a="1"/>
  <c r="V12" i="3" a="1"/>
  <c r="S4" i="3" a="1"/>
  <c r="S7" i="3" a="1"/>
  <c r="X2" i="3" a="1"/>
  <c r="AC3" i="3" a="1"/>
  <c r="S10" i="3" a="1"/>
  <c r="V2" i="3" a="1"/>
  <c r="AD19" i="3" a="1"/>
  <c r="R16" i="3" a="1"/>
  <c r="V19" i="3" a="1"/>
  <c r="AD17" i="3" a="1"/>
  <c r="X9" i="3" a="1"/>
  <c r="W20" i="3" a="1"/>
  <c r="AD5" i="3" a="1"/>
  <c r="AD16" i="3" a="1"/>
  <c r="AA20" i="3" a="1"/>
  <c r="AA2" i="3" a="1"/>
  <c r="AA4" i="3" a="1"/>
  <c r="V21" i="3" a="1"/>
  <c r="Y14" i="3" a="1"/>
  <c r="AB8" i="3" a="1"/>
  <c r="AD6" i="3" a="1"/>
  <c r="X21" i="3" a="1"/>
  <c r="AB17" i="3" a="1"/>
  <c r="U18" i="3" a="1"/>
  <c r="AB19" i="3" a="1"/>
  <c r="U3" i="3" a="1"/>
  <c r="W17" i="3" a="1"/>
  <c r="T20" i="3" a="1"/>
  <c r="T11" i="3" a="1"/>
  <c r="AA13" i="3" a="1"/>
  <c r="T14" i="3" a="1"/>
  <c r="AA17" i="3" a="1"/>
  <c r="S2" i="3" a="1"/>
  <c r="AA7" i="3" a="1"/>
  <c r="AD20" i="3" a="1"/>
  <c r="AD21" i="3" a="1"/>
  <c r="AC2" i="3" a="1"/>
  <c r="S5" i="3" a="1"/>
  <c r="X17" i="3" a="1"/>
  <c r="R15" i="3" a="1"/>
  <c r="U20" i="3" a="1"/>
  <c r="AB15" i="3" a="1"/>
  <c r="Z5" i="3" a="1"/>
  <c r="Z18" i="3" a="1"/>
  <c r="R3" i="3" a="1"/>
  <c r="V7" i="3" a="1"/>
  <c r="S8" i="3" a="1"/>
  <c r="U9" i="3" a="1"/>
  <c r="V4" i="3" a="1"/>
  <c r="AB16" i="3" a="1"/>
  <c r="AA14" i="3" a="1"/>
  <c r="W3" i="3" a="1"/>
  <c r="AD9" i="3" a="1"/>
  <c r="AC8" i="3" a="1"/>
  <c r="AB7" i="3" a="1"/>
  <c r="T10" i="3" a="1"/>
  <c r="AC15" i="3" a="1"/>
  <c r="U12" i="3" a="1"/>
  <c r="T3" i="3" a="1"/>
  <c r="U11" i="3" a="1"/>
  <c r="Z9" i="3" a="1"/>
  <c r="X14" i="3" a="1"/>
  <c r="AC11" i="3" a="1"/>
  <c r="AD3" i="3" a="1"/>
  <c r="R6" i="3" a="1"/>
  <c r="X3" i="3" a="1"/>
  <c r="W2" i="3" a="1"/>
  <c r="Z17" i="3" a="1"/>
  <c r="AC9" i="3" a="1"/>
  <c r="U7" i="3" a="1"/>
  <c r="X4" i="3" a="1"/>
  <c r="Y13" i="3" a="1"/>
  <c r="AD4" i="3" a="1"/>
  <c r="U14" i="3" a="1"/>
  <c r="R13" i="3" a="1"/>
  <c r="S14" i="3" a="1"/>
  <c r="Y21" i="3" a="1"/>
  <c r="AB20" i="3" a="1"/>
  <c r="AA9" i="3" a="1"/>
  <c r="Z8" i="3" a="1"/>
  <c r="Y12" i="3" a="1"/>
  <c r="Y11" i="3" a="1"/>
  <c r="T5" i="3" a="1"/>
  <c r="V13" i="3" a="1"/>
  <c r="R4" i="3" a="1"/>
  <c r="T21" i="3" a="1"/>
  <c r="AA19" i="3" a="1"/>
  <c r="AA12" i="3" a="1"/>
  <c r="AB3" i="3" a="1"/>
  <c r="Z3" i="3" a="1"/>
  <c r="X8" i="3" a="1"/>
  <c r="U21" i="3" a="1"/>
  <c r="V20" i="3" a="1"/>
  <c r="T4" i="3" a="1"/>
  <c r="R20" i="3" a="1"/>
  <c r="AC19" i="3" a="1"/>
  <c r="T18" i="3" a="1"/>
  <c r="AD18" i="3" a="1"/>
  <c r="AB6" i="3" a="1"/>
  <c r="AC17" i="3" a="1"/>
  <c r="S19" i="3" a="1"/>
  <c r="S21" i="3" a="1"/>
  <c r="AA16" i="3" a="1"/>
  <c r="Y19" i="3" a="1"/>
  <c r="U17" i="3" a="1"/>
  <c r="T19" i="3" a="1"/>
  <c r="X10" i="3" a="1"/>
  <c r="Y8" i="3" a="1"/>
  <c r="S12" i="3" a="1"/>
  <c r="T6" i="3" a="1"/>
  <c r="X13" i="3" a="1"/>
  <c r="T2" i="3" a="1"/>
  <c r="U16" i="3" a="1"/>
  <c r="W11" i="3" a="1"/>
  <c r="T17" i="3" a="1"/>
  <c r="Y5" i="3" a="1"/>
  <c r="V6" i="3" a="1"/>
  <c r="S13" i="3" a="1"/>
  <c r="Y10" i="3" a="1"/>
  <c r="AC14" i="3" a="1"/>
  <c r="AD2" i="3" a="1"/>
  <c r="R5" i="3" a="1"/>
  <c r="T13" i="3" a="1"/>
  <c r="AB2" i="3" a="1"/>
  <c r="S15" i="3" a="1"/>
  <c r="X6" i="3" a="1"/>
  <c r="AB21" i="3" a="1"/>
  <c r="AA21" i="3" a="1"/>
  <c r="AA8" i="3" a="1"/>
  <c r="AB5" i="3" a="1"/>
  <c r="AD7" i="3" a="1"/>
  <c r="AD8" i="3" a="1"/>
  <c r="V5" i="3" a="1"/>
  <c r="Y6" i="3" a="1"/>
  <c r="X5" i="3" a="1"/>
  <c r="Z13" i="3" a="1"/>
  <c r="R14" i="3" a="1"/>
  <c r="AD15" i="3" a="1"/>
  <c r="Z21" i="3" a="1"/>
  <c r="R21" i="3" a="1"/>
  <c r="AB14" i="3" a="1"/>
  <c r="AC7" i="3" a="1"/>
  <c r="T8" i="3" a="1"/>
  <c r="Z19" i="3" a="1"/>
  <c r="R7" i="3" a="1"/>
  <c r="W12" i="3" a="1"/>
  <c r="V15" i="3" a="1"/>
  <c r="AB13" i="3" a="1"/>
  <c r="U5" i="3" a="1"/>
  <c r="T15" i="3" a="1"/>
  <c r="AB12" i="3" a="1"/>
  <c r="AC16" i="3" a="1"/>
  <c r="X15" i="3" a="1"/>
  <c r="AD13" i="3" a="1"/>
  <c r="AC21" i="3" a="1"/>
  <c r="X12" i="3" a="1"/>
  <c r="Z7" i="3" a="1"/>
  <c r="U8" i="3" a="1"/>
  <c r="Y2" i="3" a="1"/>
  <c r="AC20" i="3" a="1"/>
  <c r="Y3" i="3" a="1"/>
  <c r="X20" i="3" a="1"/>
  <c r="AC12" i="3" a="1"/>
  <c r="U6" i="3" a="1"/>
  <c r="AD10" i="3" a="1"/>
  <c r="Z10" i="3" a="1"/>
  <c r="S16" i="3" a="1"/>
  <c r="AB11" i="3" a="1"/>
  <c r="R18" i="3" a="1"/>
  <c r="W6" i="3" a="1"/>
  <c r="AC4" i="3" a="1"/>
  <c r="X11" i="3" a="1"/>
  <c r="AB9" i="3" a="1"/>
  <c r="W18" i="3" a="1"/>
  <c r="AD12" i="3" a="1"/>
  <c r="Z4" i="3" a="1"/>
  <c r="Z15" i="3" a="1"/>
  <c r="V9" i="3" a="1"/>
  <c r="Y15" i="3" a="1"/>
  <c r="U15" i="3" a="1"/>
  <c r="AC10" i="3" a="1"/>
  <c r="S9" i="3" a="1"/>
  <c r="Y16" i="3" a="1"/>
  <c r="X16" i="3" a="1"/>
  <c r="S6" i="3" a="1"/>
  <c r="Z14" i="3" a="1"/>
  <c r="W15" i="3" a="1"/>
  <c r="W8" i="3" a="1"/>
  <c r="X7" i="3" a="1"/>
  <c r="AB10" i="3" a="1"/>
  <c r="U10" i="3" a="1"/>
  <c r="AA6" i="3" a="1"/>
  <c r="U13" i="3" a="1"/>
  <c r="R8" i="3" a="1"/>
  <c r="S3" i="3" a="1"/>
  <c r="AC5" i="3" a="1"/>
  <c r="V3" i="3" a="1"/>
  <c r="AC13" i="3" a="1"/>
  <c r="AB4" i="3" a="1"/>
  <c r="W13" i="3" a="1"/>
  <c r="W10" i="3" a="1"/>
  <c r="U19" i="3" a="1"/>
  <c r="R12" i="3" a="1"/>
  <c r="Z2" i="3" a="1"/>
  <c r="AD14" i="3" a="1"/>
  <c r="R19" i="3" a="1"/>
  <c r="V11" i="3" a="1"/>
  <c r="AC6" i="3" a="1"/>
  <c r="Z16" i="3" a="1"/>
  <c r="AB18" i="3" a="1"/>
  <c r="S20" i="3" a="1"/>
  <c r="U4" i="3" a="1"/>
  <c r="W16" i="3" a="1"/>
  <c r="Y17" i="3" a="1"/>
  <c r="W21" i="3" a="1"/>
  <c r="AA10" i="3" a="1"/>
  <c r="W4" i="3" a="1"/>
  <c r="R10" i="3" a="1"/>
  <c r="AA15" i="3" a="1"/>
  <c r="S18" i="3" a="1"/>
  <c r="Y20" i="3" a="1"/>
  <c r="Z6" i="3" a="1"/>
  <c r="S11" i="3" a="1"/>
  <c r="W14" i="3" a="1"/>
  <c r="W7" i="3" a="1"/>
  <c r="T7" i="3" a="1"/>
  <c r="U2" i="3" a="1"/>
  <c r="R2" i="3" a="1"/>
  <c r="T9" i="3" a="1"/>
  <c r="Y4" i="3" a="1"/>
  <c r="AA5" i="3" a="1"/>
  <c r="R17" i="3" a="1"/>
  <c r="W19" i="3" a="1"/>
  <c r="W9" i="3" a="1"/>
  <c r="T12" i="3" a="1"/>
  <c r="R11" i="3" a="1"/>
  <c r="W5" i="3" a="1"/>
  <c r="AA11" i="3" a="1"/>
  <c r="R9" i="3" a="1"/>
  <c r="Z20" i="3" a="1"/>
  <c r="AD21" i="3" l="1"/>
  <c r="AD15" i="3"/>
  <c r="AD9" i="3"/>
  <c r="AC18" i="3"/>
  <c r="AC9" i="3"/>
  <c r="AD20" i="3"/>
  <c r="AD14" i="3"/>
  <c r="AD8" i="3"/>
  <c r="AC20" i="3"/>
  <c r="AC11" i="3"/>
  <c r="AC5" i="3"/>
  <c r="AD19" i="3"/>
  <c r="AD16" i="3"/>
  <c r="AD13" i="3"/>
  <c r="AD10" i="3"/>
  <c r="AD7" i="3"/>
  <c r="AD4" i="3"/>
  <c r="AD12" i="3"/>
  <c r="AD6" i="3"/>
  <c r="AC21" i="3"/>
  <c r="AC15" i="3"/>
  <c r="AC3" i="3"/>
  <c r="AD11" i="3"/>
  <c r="AD2" i="3"/>
  <c r="AC17" i="3"/>
  <c r="AC2" i="3"/>
  <c r="AC16" i="3"/>
  <c r="AC13" i="3"/>
  <c r="AC10" i="3"/>
  <c r="AC7" i="3"/>
  <c r="AC4" i="3"/>
  <c r="AD18" i="3"/>
  <c r="AD3" i="3"/>
  <c r="AC12" i="3"/>
  <c r="AC6" i="3"/>
  <c r="AD17" i="3"/>
  <c r="AD5" i="3"/>
  <c r="AC14" i="3"/>
  <c r="AC8" i="3"/>
  <c r="AC19" i="3"/>
  <c r="S29" i="566"/>
  <c r="T29" i="566"/>
  <c r="Q27" i="566"/>
  <c r="Q28" i="566"/>
  <c r="R29" i="566"/>
  <c r="W7" i="3"/>
  <c r="W16" i="3"/>
  <c r="S21" i="3"/>
  <c r="T5" i="3"/>
  <c r="V19" i="3"/>
  <c r="X7" i="3"/>
  <c r="R11" i="3"/>
  <c r="Y15" i="3"/>
  <c r="S3" i="3"/>
  <c r="U5" i="3"/>
  <c r="Y7" i="3"/>
  <c r="AB12" i="3"/>
  <c r="W18" i="3"/>
  <c r="Y4" i="3"/>
  <c r="X8" i="3"/>
  <c r="T11" i="3"/>
  <c r="S12" i="3"/>
  <c r="Z15" i="3"/>
  <c r="Z17" i="3"/>
  <c r="Y18" i="3"/>
  <c r="T8" i="3"/>
  <c r="Z11" i="3"/>
  <c r="U18" i="3"/>
  <c r="U8" i="3"/>
  <c r="V4" i="3"/>
  <c r="Z13" i="3"/>
  <c r="Z3" i="3"/>
  <c r="T9" i="3"/>
  <c r="Y14" i="3"/>
  <c r="X17" i="3"/>
  <c r="AB11" i="3"/>
  <c r="AA14" i="3"/>
  <c r="W20" i="3"/>
  <c r="W2" i="3"/>
  <c r="AB6" i="3"/>
  <c r="V9" i="3"/>
  <c r="T3" i="3"/>
  <c r="AB3" i="3"/>
  <c r="V5" i="3"/>
  <c r="R13" i="3"/>
  <c r="R14" i="3"/>
  <c r="R15" i="3"/>
  <c r="AB15" i="3"/>
  <c r="X19" i="3"/>
  <c r="X20" i="3"/>
  <c r="X21" i="3"/>
  <c r="S2" i="3"/>
  <c r="R5" i="3"/>
  <c r="Z10" i="3"/>
  <c r="U16" i="3"/>
  <c r="Y6" i="3"/>
  <c r="X14" i="3"/>
  <c r="R3" i="3"/>
  <c r="AA12" i="3"/>
  <c r="V18" i="3"/>
  <c r="U2" i="3"/>
  <c r="AB5" i="3"/>
  <c r="S10" i="3"/>
  <c r="Y16" i="3"/>
  <c r="T21" i="3"/>
  <c r="R6" i="3"/>
  <c r="U9" i="3"/>
  <c r="AB13" i="3"/>
  <c r="W19" i="3"/>
  <c r="V21" i="3"/>
  <c r="AA3" i="3"/>
  <c r="S6" i="3"/>
  <c r="Z7" i="3"/>
  <c r="T10" i="3"/>
  <c r="Z16" i="3"/>
  <c r="X2" i="3"/>
  <c r="Z4" i="3"/>
  <c r="U6" i="3"/>
  <c r="R7" i="3"/>
  <c r="AB7" i="3"/>
  <c r="Y8" i="3"/>
  <c r="X9" i="3"/>
  <c r="U10" i="3"/>
  <c r="U11" i="3"/>
  <c r="U12" i="3"/>
  <c r="T13" i="3"/>
  <c r="AA16" i="3"/>
  <c r="AA17" i="3"/>
  <c r="AA18" i="3"/>
  <c r="Z19" i="3"/>
  <c r="X6" i="3"/>
  <c r="Y12" i="3"/>
  <c r="U17" i="3"/>
  <c r="AA5" i="3"/>
  <c r="X13" i="3"/>
  <c r="AA10" i="3"/>
  <c r="AA6" i="3"/>
  <c r="S4" i="3"/>
  <c r="S7" i="3"/>
  <c r="Z8" i="3"/>
  <c r="S15" i="3"/>
  <c r="S16" i="3"/>
  <c r="Y21" i="3"/>
  <c r="Y2" i="3"/>
  <c r="X5" i="3"/>
  <c r="T7" i="3"/>
  <c r="AA8" i="3"/>
  <c r="V11" i="3"/>
  <c r="V13" i="3"/>
  <c r="AB17" i="3"/>
  <c r="AB19" i="3"/>
  <c r="R2" i="3"/>
  <c r="T4" i="3"/>
  <c r="Y10" i="3"/>
  <c r="X11" i="3"/>
  <c r="T15" i="3"/>
  <c r="T16" i="3"/>
  <c r="T17" i="3"/>
  <c r="S18" i="3"/>
  <c r="Z21" i="3"/>
  <c r="AA2" i="3"/>
  <c r="U4" i="3"/>
  <c r="AA9" i="3"/>
  <c r="T19" i="3"/>
  <c r="Y3" i="3"/>
  <c r="S9" i="3"/>
  <c r="AB9" i="3"/>
  <c r="X15" i="3"/>
  <c r="S20" i="3"/>
  <c r="T2" i="3"/>
  <c r="AA11" i="3"/>
  <c r="V17" i="3"/>
  <c r="U20" i="3"/>
  <c r="W4" i="3"/>
  <c r="W8" i="3"/>
  <c r="U3" i="3"/>
  <c r="W5" i="3"/>
  <c r="W10" i="3"/>
  <c r="S14" i="3"/>
  <c r="R17" i="3"/>
  <c r="Y20" i="3"/>
  <c r="V3" i="3"/>
  <c r="AA4" i="3"/>
  <c r="V6" i="3"/>
  <c r="R8" i="3"/>
  <c r="Y9" i="3"/>
  <c r="V12" i="3"/>
  <c r="U14" i="3"/>
  <c r="AB18" i="3"/>
  <c r="AA20" i="3"/>
  <c r="Z2" i="3"/>
  <c r="X3" i="3"/>
  <c r="AB4" i="3"/>
  <c r="Z5" i="3"/>
  <c r="W6" i="3"/>
  <c r="V7" i="3"/>
  <c r="S8" i="3"/>
  <c r="R9" i="3"/>
  <c r="Z9" i="3"/>
  <c r="W12" i="3"/>
  <c r="W13" i="3"/>
  <c r="W14" i="3"/>
  <c r="V15" i="3"/>
  <c r="R19" i="3"/>
  <c r="R20" i="3"/>
  <c r="R21" i="3"/>
  <c r="AB21" i="3"/>
  <c r="V10" i="3"/>
  <c r="R12" i="3"/>
  <c r="S13" i="3"/>
  <c r="Z14" i="3"/>
  <c r="V16" i="3"/>
  <c r="W17" i="3"/>
  <c r="S19" i="3"/>
  <c r="AA21" i="3"/>
  <c r="AB10" i="3"/>
  <c r="W11" i="3"/>
  <c r="X12" i="3"/>
  <c r="Y13" i="3"/>
  <c r="T14" i="3"/>
  <c r="U15" i="3"/>
  <c r="AA15" i="3"/>
  <c r="AB16" i="3"/>
  <c r="R18" i="3"/>
  <c r="X18" i="3"/>
  <c r="Y19" i="3"/>
  <c r="T20" i="3"/>
  <c r="Z20" i="3"/>
  <c r="U21" i="3"/>
  <c r="AB2" i="3"/>
  <c r="R4" i="3"/>
  <c r="Y5" i="3"/>
  <c r="Z6" i="3"/>
  <c r="AA7" i="3"/>
  <c r="AB8" i="3"/>
  <c r="R10" i="3"/>
  <c r="S11" i="3"/>
  <c r="T12" i="3"/>
  <c r="Z12" i="3"/>
  <c r="AA13" i="3"/>
  <c r="V14" i="3"/>
  <c r="AB14" i="3"/>
  <c r="W15" i="3"/>
  <c r="R16" i="3"/>
  <c r="X16" i="3"/>
  <c r="S17" i="3"/>
  <c r="T18" i="3"/>
  <c r="Z18" i="3"/>
  <c r="U19" i="3"/>
  <c r="AA19" i="3"/>
  <c r="V20" i="3"/>
  <c r="AB20" i="3"/>
  <c r="W21" i="3"/>
  <c r="V2" i="3"/>
  <c r="W3" i="3"/>
  <c r="X4" i="3"/>
  <c r="S5" i="3"/>
  <c r="T6" i="3"/>
  <c r="U7" i="3"/>
  <c r="V8" i="3"/>
  <c r="W9" i="3"/>
  <c r="X10" i="3"/>
  <c r="Y11" i="3"/>
  <c r="U13" i="3"/>
  <c r="Y17" i="3"/>
  <c r="I20" i="566"/>
  <c r="K20" i="566" s="1"/>
  <c r="J19" i="566"/>
  <c r="I19" i="566"/>
  <c r="L19" i="566" s="1"/>
  <c r="J14" i="566"/>
  <c r="G4" i="566"/>
  <c r="J4" i="566" s="1"/>
  <c r="H4" i="566"/>
  <c r="G5" i="566"/>
  <c r="J5" i="566" s="1"/>
  <c r="H5" i="566"/>
  <c r="G6" i="566"/>
  <c r="J6" i="566" s="1"/>
  <c r="H6" i="566"/>
  <c r="G7" i="566"/>
  <c r="J7" i="566" s="1"/>
  <c r="H7" i="566"/>
  <c r="G8" i="566"/>
  <c r="I8" i="566" s="1"/>
  <c r="H8" i="566"/>
  <c r="G9" i="566"/>
  <c r="J9" i="566" s="1"/>
  <c r="H9" i="566"/>
  <c r="G10" i="566"/>
  <c r="J10" i="566" s="1"/>
  <c r="H10" i="566"/>
  <c r="G11" i="566"/>
  <c r="J11" i="566" s="1"/>
  <c r="H11" i="566"/>
  <c r="G12" i="566"/>
  <c r="J12" i="566" s="1"/>
  <c r="H12" i="566"/>
  <c r="G13" i="566"/>
  <c r="J13" i="566" s="1"/>
  <c r="H13" i="566"/>
  <c r="G14" i="566"/>
  <c r="I14" i="566" s="1"/>
  <c r="L14" i="566" s="1"/>
  <c r="H14" i="566"/>
  <c r="G15" i="566"/>
  <c r="H15" i="566"/>
  <c r="G16" i="566"/>
  <c r="J16" i="566" s="1"/>
  <c r="H16" i="566"/>
  <c r="G17" i="566"/>
  <c r="J17" i="566" s="1"/>
  <c r="H17" i="566"/>
  <c r="G18" i="566"/>
  <c r="J18" i="566" s="1"/>
  <c r="H18" i="566"/>
  <c r="G19" i="566"/>
  <c r="H19" i="566"/>
  <c r="G20" i="566"/>
  <c r="J20" i="566" s="1"/>
  <c r="H20" i="566"/>
  <c r="G21" i="566"/>
  <c r="J21" i="566" s="1"/>
  <c r="H21" i="566"/>
  <c r="G22" i="566"/>
  <c r="J22" i="566" s="1"/>
  <c r="H22" i="566"/>
  <c r="G23" i="566"/>
  <c r="J23" i="566" s="1"/>
  <c r="H23" i="566"/>
  <c r="G24" i="566"/>
  <c r="J24" i="566" s="1"/>
  <c r="H24" i="566"/>
  <c r="G25" i="566"/>
  <c r="I25" i="566" s="1"/>
  <c r="H25" i="566"/>
  <c r="G26" i="566"/>
  <c r="J26" i="566" s="1"/>
  <c r="H26" i="566"/>
  <c r="H3" i="566"/>
  <c r="G3" i="566"/>
  <c r="J3" i="566" s="1"/>
  <c r="A27" i="530"/>
  <c r="A28" i="530"/>
  <c r="A29" i="530"/>
  <c r="A22" i="530"/>
  <c r="A23" i="530"/>
  <c r="A24" i="530"/>
  <c r="A25" i="530"/>
  <c r="A26" i="530"/>
  <c r="F25" i="530" a="1"/>
  <c r="D29" i="530" a="1"/>
  <c r="D23" i="530" a="1"/>
  <c r="G29" i="530" a="1"/>
  <c r="H25" i="530" a="1"/>
  <c r="H24" i="530" a="1"/>
  <c r="C25" i="530" a="1"/>
  <c r="H26" i="530" a="1"/>
  <c r="D27" i="530" a="1"/>
  <c r="E26" i="530" a="1"/>
  <c r="E23" i="530" a="1"/>
  <c r="B23" i="530" a="1"/>
  <c r="G26" i="530" a="1"/>
  <c r="H22" i="530" a="1"/>
  <c r="G28" i="530" a="1"/>
  <c r="F26" i="530" a="1"/>
  <c r="D22" i="530" a="1"/>
  <c r="E27" i="530" a="1"/>
  <c r="H23" i="530" a="1"/>
  <c r="F24" i="530" a="1"/>
  <c r="H29" i="530" a="1"/>
  <c r="G23" i="530" a="1"/>
  <c r="C26" i="530" a="1"/>
  <c r="B26" i="530" a="1"/>
  <c r="H27" i="530" a="1"/>
  <c r="F23" i="530" a="1"/>
  <c r="C23" i="530" a="1"/>
  <c r="G22" i="530" a="1"/>
  <c r="C27" i="530" a="1"/>
  <c r="E24" i="530" a="1"/>
  <c r="C29" i="530" a="1"/>
  <c r="G25" i="530" a="1"/>
  <c r="E25" i="530" a="1"/>
  <c r="H28" i="530" a="1"/>
  <c r="C22" i="530" a="1"/>
  <c r="G27" i="530" a="1"/>
  <c r="D25" i="530" a="1"/>
  <c r="E22" i="530" a="1"/>
  <c r="B29" i="530" a="1"/>
  <c r="E28" i="530" a="1"/>
  <c r="G24" i="530" a="1"/>
  <c r="B27" i="530" a="1"/>
  <c r="B24" i="530" a="1"/>
  <c r="F28" i="530" a="1"/>
  <c r="B22" i="530" a="1"/>
  <c r="D28" i="530" a="1"/>
  <c r="F29" i="530" a="1"/>
  <c r="E29" i="530" a="1"/>
  <c r="B25" i="530" a="1"/>
  <c r="C24" i="530" a="1"/>
  <c r="B28" i="530" a="1"/>
  <c r="F27" i="530" a="1"/>
  <c r="D26" i="530" a="1"/>
  <c r="D24" i="530" a="1"/>
  <c r="F22" i="530" a="1"/>
  <c r="C28" i="530" a="1"/>
  <c r="I7" i="566" l="1"/>
  <c r="K7" i="566" s="1"/>
  <c r="I3" i="566"/>
  <c r="J8" i="566"/>
  <c r="T27" i="566"/>
  <c r="S27" i="566"/>
  <c r="T28" i="566"/>
  <c r="S28" i="566"/>
  <c r="J25" i="566"/>
  <c r="V29" i="566"/>
  <c r="U29" i="566"/>
  <c r="L25" i="566"/>
  <c r="K25" i="566"/>
  <c r="N7" i="566"/>
  <c r="M7" i="566"/>
  <c r="L8" i="566"/>
  <c r="K8" i="566"/>
  <c r="N20" i="566"/>
  <c r="M20" i="566"/>
  <c r="I9" i="566"/>
  <c r="I26" i="566"/>
  <c r="L7" i="566"/>
  <c r="L20" i="566"/>
  <c r="I13" i="566"/>
  <c r="K14" i="566"/>
  <c r="I21" i="566"/>
  <c r="K19" i="566"/>
  <c r="I4" i="566"/>
  <c r="I10" i="566"/>
  <c r="I16" i="566"/>
  <c r="I22" i="566"/>
  <c r="I5" i="566"/>
  <c r="I11" i="566"/>
  <c r="I17" i="566"/>
  <c r="I23" i="566"/>
  <c r="I6" i="566"/>
  <c r="I12" i="566"/>
  <c r="I18" i="566"/>
  <c r="I24" i="566"/>
  <c r="E28" i="530"/>
  <c r="F27" i="530"/>
  <c r="D28" i="530"/>
  <c r="H29" i="530"/>
  <c r="B29" i="530"/>
  <c r="E27" i="530"/>
  <c r="D29" i="530"/>
  <c r="C29" i="530"/>
  <c r="C28" i="530"/>
  <c r="G27" i="530"/>
  <c r="G29" i="530"/>
  <c r="D27" i="530"/>
  <c r="H28" i="530"/>
  <c r="B28" i="530"/>
  <c r="F29" i="530"/>
  <c r="C27" i="530"/>
  <c r="G28" i="530"/>
  <c r="E29" i="530"/>
  <c r="H27" i="530"/>
  <c r="B27" i="530"/>
  <c r="F28" i="530"/>
  <c r="G26" i="530"/>
  <c r="D24" i="530"/>
  <c r="G22" i="530"/>
  <c r="H25" i="530"/>
  <c r="B25" i="530"/>
  <c r="G25" i="530"/>
  <c r="E26" i="530"/>
  <c r="H24" i="530"/>
  <c r="B24" i="530"/>
  <c r="E22" i="530"/>
  <c r="E23" i="530"/>
  <c r="F26" i="530"/>
  <c r="F22" i="530"/>
  <c r="D23" i="530"/>
  <c r="F25" i="530"/>
  <c r="C23" i="530"/>
  <c r="C26" i="530"/>
  <c r="C24" i="530"/>
  <c r="D26" i="530"/>
  <c r="G24" i="530"/>
  <c r="D22" i="530"/>
  <c r="E25" i="530"/>
  <c r="H23" i="530"/>
  <c r="B23" i="530"/>
  <c r="C22" i="530"/>
  <c r="D25" i="530"/>
  <c r="G23" i="530"/>
  <c r="H26" i="530"/>
  <c r="B26" i="530"/>
  <c r="E24" i="530"/>
  <c r="H22" i="530"/>
  <c r="B22" i="530"/>
  <c r="F24" i="530"/>
  <c r="C25" i="530"/>
  <c r="F23" i="530"/>
  <c r="X29" i="566" l="1"/>
  <c r="W29" i="566"/>
  <c r="V28" i="566"/>
  <c r="U28" i="566"/>
  <c r="P20" i="566"/>
  <c r="O20" i="566"/>
  <c r="U27" i="566"/>
  <c r="V27" i="566"/>
  <c r="P7" i="566"/>
  <c r="O7" i="566"/>
  <c r="K3" i="566"/>
  <c r="L3" i="566"/>
  <c r="K26" i="566"/>
  <c r="L26" i="566"/>
  <c r="L9" i="566"/>
  <c r="K9" i="566"/>
  <c r="M19" i="566"/>
  <c r="N19" i="566"/>
  <c r="L12" i="566"/>
  <c r="K12" i="566"/>
  <c r="L23" i="566"/>
  <c r="K23" i="566"/>
  <c r="L17" i="566"/>
  <c r="K17" i="566"/>
  <c r="N25" i="566"/>
  <c r="M25" i="566"/>
  <c r="L11" i="566"/>
  <c r="K11" i="566"/>
  <c r="L13" i="566"/>
  <c r="K13" i="566"/>
  <c r="L5" i="566"/>
  <c r="K5" i="566"/>
  <c r="L22" i="566"/>
  <c r="K22" i="566"/>
  <c r="K16" i="566"/>
  <c r="L16" i="566"/>
  <c r="K10" i="566"/>
  <c r="L10" i="566"/>
  <c r="K24" i="566"/>
  <c r="L24" i="566"/>
  <c r="L4" i="566"/>
  <c r="K4" i="566"/>
  <c r="L18" i="566"/>
  <c r="K18" i="566"/>
  <c r="M8" i="566"/>
  <c r="N8" i="566"/>
  <c r="L21" i="566"/>
  <c r="K21" i="566"/>
  <c r="L6" i="566"/>
  <c r="K6" i="566"/>
  <c r="M14" i="566"/>
  <c r="N14" i="566"/>
  <c r="A3" i="530"/>
  <c r="A4" i="530"/>
  <c r="A5" i="530"/>
  <c r="A6" i="530"/>
  <c r="A7" i="530"/>
  <c r="A8" i="530"/>
  <c r="A9" i="530"/>
  <c r="A10" i="530"/>
  <c r="A11" i="530"/>
  <c r="A12" i="530"/>
  <c r="A13" i="530"/>
  <c r="A14" i="530"/>
  <c r="A15" i="530"/>
  <c r="A16" i="530"/>
  <c r="A17" i="530"/>
  <c r="A18" i="530"/>
  <c r="A19" i="530"/>
  <c r="A20" i="530"/>
  <c r="A21" i="530"/>
  <c r="A2" i="530"/>
  <c r="G11" i="530" a="1"/>
  <c r="G10" i="530" a="1"/>
  <c r="D18" i="530" a="1"/>
  <c r="G6" i="530" a="1"/>
  <c r="D21" i="530" a="1"/>
  <c r="B9" i="530" a="1"/>
  <c r="H4" i="530" a="1"/>
  <c r="E5" i="530" a="1"/>
  <c r="C11" i="530" a="1"/>
  <c r="H21" i="530" a="1"/>
  <c r="H10" i="530" a="1"/>
  <c r="H12" i="530" a="1"/>
  <c r="B11" i="530" a="1"/>
  <c r="E20" i="530" a="1"/>
  <c r="B20" i="530" a="1"/>
  <c r="B18" i="530" a="1"/>
  <c r="C6" i="530" a="1"/>
  <c r="D7" i="530" a="1"/>
  <c r="B13" i="530" a="1"/>
  <c r="D15" i="530" a="1"/>
  <c r="F20" i="530" a="1"/>
  <c r="F7" i="530" a="1"/>
  <c r="G16" i="530" a="1"/>
  <c r="G13" i="530" a="1"/>
  <c r="B8" i="530" a="1"/>
  <c r="F15" i="530" a="1"/>
  <c r="D8" i="530" a="1"/>
  <c r="C14" i="530" a="1"/>
  <c r="D3" i="530" a="1"/>
  <c r="G3" i="530" a="1"/>
  <c r="E21" i="530" a="1"/>
  <c r="B16" i="530" a="1"/>
  <c r="C16" i="530" a="1"/>
  <c r="E4" i="530" a="1"/>
  <c r="F16" i="530" a="1"/>
  <c r="G17" i="530" a="1"/>
  <c r="F9" i="530" a="1"/>
  <c r="C12" i="530" a="1"/>
  <c r="G4" i="530" a="1"/>
  <c r="E19" i="530" a="1"/>
  <c r="E8" i="530" a="1"/>
  <c r="F2" i="530" a="1"/>
  <c r="B7" i="530" a="1"/>
  <c r="F12" i="530" a="1"/>
  <c r="D9" i="530" a="1"/>
  <c r="C10" i="530" a="1"/>
  <c r="D2" i="530" a="1"/>
  <c r="G14" i="530" a="1"/>
  <c r="F21" i="530" a="1"/>
  <c r="F4" i="530" a="1"/>
  <c r="B3" i="530" a="1"/>
  <c r="D14" i="530" a="1"/>
  <c r="B5" i="530" a="1"/>
  <c r="G5" i="530" a="1"/>
  <c r="F19" i="530" a="1"/>
  <c r="E11" i="530" a="1"/>
  <c r="B6" i="530" a="1"/>
  <c r="E3" i="530" a="1"/>
  <c r="F14" i="530" a="1"/>
  <c r="H8" i="530" a="1"/>
  <c r="E13" i="530" a="1"/>
  <c r="H14" i="530" a="1"/>
  <c r="H5" i="530" a="1"/>
  <c r="C3" i="530" a="1"/>
  <c r="H20" i="530" a="1"/>
  <c r="H3" i="530" a="1"/>
  <c r="C7" i="530" a="1"/>
  <c r="G20" i="530" a="1"/>
  <c r="H15" i="530" a="1"/>
  <c r="D17" i="530" a="1"/>
  <c r="E2" i="530" a="1"/>
  <c r="H16" i="530" a="1"/>
  <c r="G19" i="530" a="1"/>
  <c r="D6" i="530" a="1"/>
  <c r="B10" i="530" a="1"/>
  <c r="B21" i="530" a="1"/>
  <c r="E7" i="530" a="1"/>
  <c r="G9" i="530" a="1"/>
  <c r="E14" i="530" a="1"/>
  <c r="E18" i="530" a="1"/>
  <c r="C20" i="530" a="1"/>
  <c r="E17" i="530" a="1"/>
  <c r="F3" i="530" a="1"/>
  <c r="E15" i="530" a="1"/>
  <c r="H2" i="530" a="1"/>
  <c r="F17" i="530" a="1"/>
  <c r="C9" i="530" a="1"/>
  <c r="B12" i="530" a="1"/>
  <c r="H6" i="530" a="1"/>
  <c r="F13" i="530" a="1"/>
  <c r="H19" i="530" a="1"/>
  <c r="G12" i="530" a="1"/>
  <c r="E6" i="530" a="1"/>
  <c r="E12" i="530" a="1"/>
  <c r="D4" i="530" a="1"/>
  <c r="D13" i="530" a="1"/>
  <c r="B2" i="530" a="1"/>
  <c r="G2" i="530" a="1"/>
  <c r="D10" i="530" a="1"/>
  <c r="B17" i="530" a="1"/>
  <c r="D11" i="530" a="1"/>
  <c r="G21" i="530" a="1"/>
  <c r="F11" i="530" a="1"/>
  <c r="B19" i="530" a="1"/>
  <c r="G18" i="530" a="1"/>
  <c r="C4" i="530" a="1"/>
  <c r="C8" i="530" a="1"/>
  <c r="C2" i="530" a="1"/>
  <c r="F18" i="530" a="1"/>
  <c r="C18" i="530" a="1"/>
  <c r="D5" i="530" a="1"/>
  <c r="H9" i="530" a="1"/>
  <c r="H17" i="530" a="1"/>
  <c r="E9" i="530" a="1"/>
  <c r="F10" i="530" a="1"/>
  <c r="C19" i="530" a="1"/>
  <c r="D12" i="530" a="1"/>
  <c r="H13" i="530" a="1"/>
  <c r="F6" i="530" a="1"/>
  <c r="G8" i="530" a="1"/>
  <c r="D19" i="530" a="1"/>
  <c r="H7" i="530" a="1"/>
  <c r="F8" i="530" a="1"/>
  <c r="C17" i="530" a="1"/>
  <c r="H18" i="530" a="1"/>
  <c r="B15" i="530" a="1"/>
  <c r="F5" i="530" a="1"/>
  <c r="C21" i="530" a="1"/>
  <c r="E10" i="530" a="1"/>
  <c r="H11" i="530" a="1"/>
  <c r="B14" i="530" a="1"/>
  <c r="C13" i="530" a="1"/>
  <c r="G15" i="530" a="1"/>
  <c r="G7" i="530" a="1"/>
  <c r="B4" i="530" a="1"/>
  <c r="D16" i="530" a="1"/>
  <c r="C15" i="530" a="1"/>
  <c r="C5" i="530" a="1"/>
  <c r="D20" i="530" a="1"/>
  <c r="E16" i="530" a="1"/>
  <c r="N3" i="566" l="1"/>
  <c r="M3" i="566"/>
  <c r="Q7" i="566"/>
  <c r="R7" i="566"/>
  <c r="P8" i="566"/>
  <c r="O8" i="566"/>
  <c r="X27" i="566"/>
  <c r="W27" i="566"/>
  <c r="R20" i="566"/>
  <c r="Q20" i="566"/>
  <c r="O19" i="566"/>
  <c r="P19" i="566"/>
  <c r="X28" i="566"/>
  <c r="W28" i="566"/>
  <c r="P14" i="566"/>
  <c r="O14" i="566"/>
  <c r="O25" i="566"/>
  <c r="P25" i="566"/>
  <c r="N18" i="566"/>
  <c r="M18" i="566"/>
  <c r="N12" i="566"/>
  <c r="M12" i="566"/>
  <c r="M4" i="566"/>
  <c r="N4" i="566"/>
  <c r="N11" i="566"/>
  <c r="M11" i="566"/>
  <c r="M6" i="566"/>
  <c r="N6" i="566"/>
  <c r="N10" i="566"/>
  <c r="M10" i="566"/>
  <c r="N26" i="566"/>
  <c r="M26" i="566"/>
  <c r="N21" i="566"/>
  <c r="M21" i="566"/>
  <c r="N17" i="566"/>
  <c r="M17" i="566"/>
  <c r="N5" i="566"/>
  <c r="M5" i="566"/>
  <c r="N13" i="566"/>
  <c r="M13" i="566"/>
  <c r="N9" i="566"/>
  <c r="M9" i="566"/>
  <c r="M24" i="566"/>
  <c r="N24" i="566"/>
  <c r="N16" i="566"/>
  <c r="M16" i="566"/>
  <c r="N22" i="566"/>
  <c r="M22" i="566"/>
  <c r="M23" i="566"/>
  <c r="N23" i="566"/>
  <c r="F19" i="530"/>
  <c r="E14" i="530"/>
  <c r="C10" i="530"/>
  <c r="H5" i="530"/>
  <c r="D19" i="530"/>
  <c r="G16" i="530"/>
  <c r="C14" i="530"/>
  <c r="H9" i="530"/>
  <c r="E6" i="530"/>
  <c r="G4" i="530"/>
  <c r="H20" i="530"/>
  <c r="D18" i="530"/>
  <c r="G15" i="530"/>
  <c r="C13" i="530"/>
  <c r="F10" i="530"/>
  <c r="B8" i="530"/>
  <c r="G3" i="530"/>
  <c r="F21" i="530"/>
  <c r="G20" i="530"/>
  <c r="H19" i="530"/>
  <c r="B19" i="530"/>
  <c r="C18" i="530"/>
  <c r="D17" i="530"/>
  <c r="E16" i="530"/>
  <c r="F15" i="530"/>
  <c r="G14" i="530"/>
  <c r="H13" i="530"/>
  <c r="B13" i="530"/>
  <c r="C12" i="530"/>
  <c r="D11" i="530"/>
  <c r="E10" i="530"/>
  <c r="F9" i="530"/>
  <c r="G8" i="530"/>
  <c r="H7" i="530"/>
  <c r="B7" i="530"/>
  <c r="C6" i="530"/>
  <c r="D5" i="530"/>
  <c r="E4" i="530"/>
  <c r="F3" i="530"/>
  <c r="E20" i="530"/>
  <c r="F13" i="530"/>
  <c r="E12" i="530"/>
  <c r="G18" i="530"/>
  <c r="H11" i="530"/>
  <c r="C4" i="530"/>
  <c r="C20" i="530"/>
  <c r="H15" i="530"/>
  <c r="F11" i="530"/>
  <c r="C8" i="530"/>
  <c r="F5" i="530"/>
  <c r="B20" i="530"/>
  <c r="F16" i="530"/>
  <c r="B14" i="530"/>
  <c r="E11" i="530"/>
  <c r="H8" i="530"/>
  <c r="D6" i="530"/>
  <c r="E5" i="530"/>
  <c r="F20" i="530"/>
  <c r="H18" i="530"/>
  <c r="C17" i="530"/>
  <c r="D16" i="530"/>
  <c r="F14" i="530"/>
  <c r="G13" i="530"/>
  <c r="H12" i="530"/>
  <c r="B12" i="530"/>
  <c r="C11" i="530"/>
  <c r="D10" i="530"/>
  <c r="E9" i="530"/>
  <c r="F8" i="530"/>
  <c r="G7" i="530"/>
  <c r="H6" i="530"/>
  <c r="B6" i="530"/>
  <c r="C5" i="530"/>
  <c r="D4" i="530"/>
  <c r="E3" i="530"/>
  <c r="H17" i="530"/>
  <c r="G12" i="530"/>
  <c r="E8" i="530"/>
  <c r="B5" i="530"/>
  <c r="H21" i="530"/>
  <c r="B21" i="530"/>
  <c r="E18" i="530"/>
  <c r="B15" i="530"/>
  <c r="D13" i="530"/>
  <c r="G10" i="530"/>
  <c r="D7" i="530"/>
  <c r="H3" i="530"/>
  <c r="G21" i="530"/>
  <c r="C19" i="530"/>
  <c r="E17" i="530"/>
  <c r="H14" i="530"/>
  <c r="D12" i="530"/>
  <c r="G9" i="530"/>
  <c r="C7" i="530"/>
  <c r="F4" i="530"/>
  <c r="E21" i="530"/>
  <c r="G19" i="530"/>
  <c r="B18" i="530"/>
  <c r="E15" i="530"/>
  <c r="D15" i="530"/>
  <c r="B17" i="530"/>
  <c r="B11" i="530"/>
  <c r="F7" i="530"/>
  <c r="G6" i="530"/>
  <c r="C21" i="530"/>
  <c r="D20" i="530"/>
  <c r="E19" i="530"/>
  <c r="F18" i="530"/>
  <c r="G17" i="530"/>
  <c r="H16" i="530"/>
  <c r="B16" i="530"/>
  <c r="C15" i="530"/>
  <c r="D14" i="530"/>
  <c r="E13" i="530"/>
  <c r="F12" i="530"/>
  <c r="G11" i="530"/>
  <c r="H10" i="530"/>
  <c r="B10" i="530"/>
  <c r="C9" i="530"/>
  <c r="D8" i="530"/>
  <c r="E7" i="530"/>
  <c r="F6" i="530"/>
  <c r="G5" i="530"/>
  <c r="H4" i="530"/>
  <c r="B4" i="530"/>
  <c r="C3" i="530"/>
  <c r="D21" i="530"/>
  <c r="C16" i="530"/>
  <c r="D9" i="530"/>
  <c r="D3" i="530"/>
  <c r="F17" i="530"/>
  <c r="B9" i="530"/>
  <c r="B3" i="530"/>
  <c r="H2" i="530"/>
  <c r="G2" i="530"/>
  <c r="C2" i="530"/>
  <c r="E2" i="530"/>
  <c r="D2" i="530"/>
  <c r="F2" i="530"/>
  <c r="B2" i="530"/>
  <c r="P22" i="566" l="1"/>
  <c r="O22" i="566"/>
  <c r="P17" i="566"/>
  <c r="O17" i="566"/>
  <c r="R19" i="566"/>
  <c r="Q19" i="566"/>
  <c r="P16" i="566"/>
  <c r="O16" i="566"/>
  <c r="P21" i="566"/>
  <c r="O21" i="566"/>
  <c r="P12" i="566"/>
  <c r="O12" i="566"/>
  <c r="T20" i="566"/>
  <c r="S20" i="566"/>
  <c r="P4" i="566"/>
  <c r="O4" i="566"/>
  <c r="P26" i="566"/>
  <c r="O26" i="566"/>
  <c r="P18" i="566"/>
  <c r="O18" i="566"/>
  <c r="P24" i="566"/>
  <c r="O24" i="566"/>
  <c r="O9" i="566"/>
  <c r="P9" i="566"/>
  <c r="O10" i="566"/>
  <c r="P10" i="566"/>
  <c r="R8" i="566"/>
  <c r="Q8" i="566"/>
  <c r="R25" i="566"/>
  <c r="Q25" i="566"/>
  <c r="P13" i="566"/>
  <c r="O13" i="566"/>
  <c r="R14" i="566"/>
  <c r="Q14" i="566"/>
  <c r="O6" i="566"/>
  <c r="P6" i="566"/>
  <c r="T7" i="566"/>
  <c r="S7" i="566"/>
  <c r="P5" i="566"/>
  <c r="O5" i="566"/>
  <c r="P11" i="566"/>
  <c r="O11" i="566"/>
  <c r="O3" i="566"/>
  <c r="P3" i="566"/>
  <c r="P23" i="566"/>
  <c r="O23" i="566"/>
  <c r="R4" i="566" l="1"/>
  <c r="Q4" i="566"/>
  <c r="R6" i="566"/>
  <c r="Q6" i="566"/>
  <c r="R23" i="566"/>
  <c r="Q23" i="566"/>
  <c r="T14" i="566"/>
  <c r="S14" i="566"/>
  <c r="R24" i="566"/>
  <c r="Q24" i="566"/>
  <c r="R21" i="566"/>
  <c r="Q21" i="566"/>
  <c r="Q17" i="566"/>
  <c r="R17" i="566"/>
  <c r="R12" i="566"/>
  <c r="Q12" i="566"/>
  <c r="R9" i="566"/>
  <c r="Q9" i="566"/>
  <c r="S8" i="566"/>
  <c r="T8" i="566"/>
  <c r="R13" i="566"/>
  <c r="Q13" i="566"/>
  <c r="R16" i="566"/>
  <c r="Q16" i="566"/>
  <c r="R5" i="566"/>
  <c r="Q5" i="566"/>
  <c r="R18" i="566"/>
  <c r="Q18" i="566"/>
  <c r="R3" i="566"/>
  <c r="Q3" i="566"/>
  <c r="R11" i="566"/>
  <c r="Q11" i="566"/>
  <c r="T25" i="566"/>
  <c r="S25" i="566"/>
  <c r="Q26" i="566"/>
  <c r="R26" i="566"/>
  <c r="T19" i="566"/>
  <c r="S19" i="566"/>
  <c r="U7" i="566"/>
  <c r="V7" i="566"/>
  <c r="U20" i="566"/>
  <c r="V20" i="566"/>
  <c r="R22" i="566"/>
  <c r="Q22" i="566"/>
  <c r="R10" i="566"/>
  <c r="Q10" i="566"/>
  <c r="S24" i="566" l="1"/>
  <c r="T24" i="566"/>
  <c r="T16" i="566"/>
  <c r="S16" i="566"/>
  <c r="T13" i="566"/>
  <c r="S13" i="566"/>
  <c r="T22" i="566"/>
  <c r="S22" i="566"/>
  <c r="S11" i="566"/>
  <c r="T11" i="566"/>
  <c r="U14" i="566"/>
  <c r="V14" i="566"/>
  <c r="S21" i="566"/>
  <c r="T21" i="566"/>
  <c r="S10" i="566"/>
  <c r="T10" i="566"/>
  <c r="X20" i="566"/>
  <c r="W20" i="566"/>
  <c r="T26" i="566"/>
  <c r="S26" i="566"/>
  <c r="V25" i="566"/>
  <c r="U25" i="566"/>
  <c r="U8" i="566"/>
  <c r="V8" i="566"/>
  <c r="T3" i="566"/>
  <c r="S3" i="566"/>
  <c r="T9" i="566"/>
  <c r="S9" i="566"/>
  <c r="S23" i="566"/>
  <c r="T23" i="566"/>
  <c r="S18" i="566"/>
  <c r="T18" i="566"/>
  <c r="T12" i="566"/>
  <c r="S12" i="566"/>
  <c r="T6" i="566"/>
  <c r="S6" i="566"/>
  <c r="X7" i="566"/>
  <c r="W7" i="566"/>
  <c r="V19" i="566"/>
  <c r="U19" i="566"/>
  <c r="T5" i="566"/>
  <c r="S5" i="566"/>
  <c r="S4" i="566"/>
  <c r="T4" i="566"/>
  <c r="S17" i="566"/>
  <c r="T17" i="566"/>
  <c r="V16" i="566" l="1"/>
  <c r="U16" i="566"/>
  <c r="X8" i="566"/>
  <c r="W8" i="566"/>
  <c r="X14" i="566"/>
  <c r="W14" i="566"/>
  <c r="V12" i="566"/>
  <c r="U12" i="566"/>
  <c r="X25" i="566"/>
  <c r="W25" i="566"/>
  <c r="X19" i="566"/>
  <c r="W19" i="566"/>
  <c r="V6" i="566"/>
  <c r="U6" i="566"/>
  <c r="V17" i="566"/>
  <c r="U17" i="566"/>
  <c r="U11" i="566"/>
  <c r="V11" i="566"/>
  <c r="V9" i="566"/>
  <c r="U9" i="566"/>
  <c r="U26" i="566"/>
  <c r="V26" i="566"/>
  <c r="V22" i="566"/>
  <c r="U22" i="566"/>
  <c r="V4" i="566"/>
  <c r="U4" i="566"/>
  <c r="V5" i="566"/>
  <c r="U5" i="566"/>
  <c r="U13" i="566"/>
  <c r="V13" i="566"/>
  <c r="V18" i="566"/>
  <c r="U18" i="566"/>
  <c r="V23" i="566"/>
  <c r="U23" i="566"/>
  <c r="V3" i="566"/>
  <c r="U3" i="566"/>
  <c r="V10" i="566"/>
  <c r="U10" i="566"/>
  <c r="U21" i="566"/>
  <c r="V21" i="566"/>
  <c r="V24" i="566"/>
  <c r="U24" i="566"/>
  <c r="X23" i="566" l="1"/>
  <c r="W23" i="566"/>
  <c r="X22" i="566"/>
  <c r="W22" i="566"/>
  <c r="X26" i="566"/>
  <c r="W26" i="566"/>
  <c r="X18" i="566"/>
  <c r="W18" i="566"/>
  <c r="X9" i="566"/>
  <c r="W9" i="566"/>
  <c r="X12" i="566"/>
  <c r="W12" i="566"/>
  <c r="X24" i="566"/>
  <c r="W24" i="566"/>
  <c r="X13" i="566"/>
  <c r="W13" i="566"/>
  <c r="W11" i="566"/>
  <c r="X11" i="566"/>
  <c r="X3" i="566"/>
  <c r="W3" i="566"/>
  <c r="X5" i="566"/>
  <c r="W5" i="566"/>
  <c r="X17" i="566"/>
  <c r="W17" i="566"/>
  <c r="X21" i="566"/>
  <c r="W21" i="566"/>
  <c r="X10" i="566"/>
  <c r="W10" i="566"/>
  <c r="X4" i="566"/>
  <c r="W4" i="566"/>
  <c r="X6" i="566"/>
  <c r="W6" i="566"/>
  <c r="X16" i="566"/>
  <c r="W16" i="56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<sst xmlns="http://schemas.openxmlformats.org/spreadsheetml/2006/main" count="790" uniqueCount="510">
  <si>
    <t>09:00-09:15</t>
  </si>
  <si>
    <t>09:15-09:30</t>
  </si>
  <si>
    <t>09:30-09:45</t>
  </si>
  <si>
    <t>09:45-10:00</t>
  </si>
  <si>
    <t>10:00-10:15</t>
  </si>
  <si>
    <t>10:15-10:30</t>
  </si>
  <si>
    <t>10:30-10:45</t>
  </si>
  <si>
    <t>10:45-11:00</t>
  </si>
  <si>
    <t>11:00-11:15</t>
  </si>
  <si>
    <t>11:15-11:30</t>
  </si>
  <si>
    <t>11:30-11:45</t>
  </si>
  <si>
    <t>11:45-12:00</t>
  </si>
  <si>
    <t>12:00-12:15</t>
  </si>
  <si>
    <t>12:15-12:30</t>
  </si>
  <si>
    <t>12:30-12:45</t>
  </si>
  <si>
    <t>12:45-13:00</t>
  </si>
  <si>
    <t>13:00-13:15</t>
  </si>
  <si>
    <t>13:15-13:30</t>
  </si>
  <si>
    <t>13:30-13:45</t>
  </si>
  <si>
    <t>13:45-14:00</t>
  </si>
  <si>
    <t>14:00-14:15</t>
  </si>
  <si>
    <t>14:15-14:30</t>
  </si>
  <si>
    <t>14:30-14:45</t>
  </si>
  <si>
    <t>14:45-15:00</t>
  </si>
  <si>
    <t>15:00-15:15</t>
  </si>
  <si>
    <t>15:15-15:30</t>
  </si>
  <si>
    <t>15:30-15:45</t>
  </si>
  <si>
    <t>15:45-16:00</t>
  </si>
  <si>
    <t>16:00-16:15</t>
  </si>
  <si>
    <t>16:15-16:30</t>
  </si>
  <si>
    <t>16:30-16:45</t>
  </si>
  <si>
    <t>16:45-17:00</t>
  </si>
  <si>
    <t>17:00-17:15</t>
  </si>
  <si>
    <t>17:15-17:30</t>
  </si>
  <si>
    <t>17:30-17:45</t>
  </si>
  <si>
    <t>17:45-18:00</t>
  </si>
  <si>
    <t>18:00-18:15</t>
  </si>
  <si>
    <t>18:15-18:30</t>
  </si>
  <si>
    <t>18:30-18:45</t>
  </si>
  <si>
    <t>18:45-19:00</t>
  </si>
  <si>
    <t>19:00-19:15</t>
  </si>
  <si>
    <t>19:15-19:30</t>
  </si>
  <si>
    <t>19:30-19:45</t>
  </si>
  <si>
    <t>19:45-20:00</t>
  </si>
  <si>
    <t>20:00-20:15</t>
  </si>
  <si>
    <t>20:15-20:30</t>
  </si>
  <si>
    <t>20:30-20:45</t>
  </si>
  <si>
    <t>20:45-21:00</t>
  </si>
  <si>
    <t>fasce</t>
  </si>
  <si>
    <t>durata</t>
  </si>
  <si>
    <t>id turno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</si>
  <si>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</si>
  <si>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</si>
  <si>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</si>
  <si>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</si>
  <si>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</si>
  <si>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</si>
  <si>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</si>
  <si>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</si>
  <si>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</si>
  <si>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</si>
  <si>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</si>
  <si>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</si>
  <si>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</si>
  <si>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</si>
  <si>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</si>
  <si>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</si>
  <si>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</si>
  <si>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</si>
  <si>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</si>
  <si>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</si>
  <si>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</si>
  <si>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</si>
  <si>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</si>
  <si>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</si>
  <si>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</si>
  <si>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</si>
  <si>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</si>
  <si>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</si>
  <si>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</si>
  <si>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</si>
  <si>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</si>
  <si>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</si>
  <si>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</si>
  <si>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</si>
  <si>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</si>
  <si>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</si>
  <si>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</si>
  <si>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</si>
  <si>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</si>
  <si>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</si>
  <si>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</si>
  <si>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</si>
  <si>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</si>
  <si>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</si>
  <si>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</si>
  <si>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</si>
  <si>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</si>
  <si>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</si>
  <si>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</si>
  <si>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</si>
  <si>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</si>
  <si>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</si>
  <si>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</si>
  <si>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</si>
  <si>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</si>
  <si>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</si>
  <si>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</si>
  <si>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</si>
  <si>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</si>
  <si>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</si>
  <si>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</si>
  <si>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</si>
  <si>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</si>
  <si>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</si>
  <si>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</si>
  <si>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</si>
  <si>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</si>
  <si>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</si>
  <si>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</si>
  <si>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</si>
  <si>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</si>
  <si>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</si>
  <si>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</si>
  <si>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</si>
  <si>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</si>
  <si>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</si>
  <si>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</si>
  <si>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</si>
  <si>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</si>
  <si>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</si>
  <si>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</si>
  <si>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</si>
  <si>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</si>
  <si>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</si>
  <si>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</si>
  <si>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</si>
  <si>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</si>
  <si>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</si>
  <si>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</si>
  <si>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</si>
  <si>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</si>
  <si>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</si>
  <si>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</si>
  <si>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</si>
  <si>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</si>
  <si>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</si>
  <si>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</si>
  <si>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</si>
  <si>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</si>
  <si>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</si>
  <si>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21:00</t>
  </si>
  <si>
    <t>cf2</t>
  </si>
  <si>
    <t>cf3</t>
  </si>
  <si>
    <t>cf6</t>
  </si>
  <si>
    <t>cf8</t>
  </si>
  <si>
    <t>cf13</t>
  </si>
  <si>
    <t>cf14</t>
  </si>
  <si>
    <t>09:00</t>
  </si>
  <si>
    <t>08:30</t>
  </si>
  <si>
    <t>12:30</t>
  </si>
  <si>
    <t>14:30</t>
  </si>
  <si>
    <t>16:30</t>
  </si>
  <si>
    <t>08:45</t>
  </si>
  <si>
    <t>12:45</t>
  </si>
  <si>
    <t>14:45</t>
  </si>
  <si>
    <t>13:00</t>
  </si>
  <si>
    <t>15:00</t>
  </si>
  <si>
    <t>17:00</t>
  </si>
  <si>
    <t>09:15</t>
  </si>
  <si>
    <t>13:15</t>
  </si>
  <si>
    <t>15:15</t>
  </si>
  <si>
    <t>09:30</t>
  </si>
  <si>
    <t>13:30</t>
  </si>
  <si>
    <t>15:30</t>
  </si>
  <si>
    <t>17:30</t>
  </si>
  <si>
    <t>09:45</t>
  </si>
  <si>
    <t>13:45</t>
  </si>
  <si>
    <t>15:45</t>
  </si>
  <si>
    <t>10:00</t>
  </si>
  <si>
    <t>14:00</t>
  </si>
  <si>
    <t>16:00</t>
  </si>
  <si>
    <t>18:00</t>
  </si>
  <si>
    <t>10:15</t>
  </si>
  <si>
    <t>14:15</t>
  </si>
  <si>
    <t>16:15</t>
  </si>
  <si>
    <t>10:30</t>
  </si>
  <si>
    <t>18:30</t>
  </si>
  <si>
    <t>10:45</t>
  </si>
  <si>
    <t>16:45</t>
  </si>
  <si>
    <t>11:00</t>
  </si>
  <si>
    <t>19:00</t>
  </si>
  <si>
    <t>11:15</t>
  </si>
  <si>
    <t>17:15</t>
  </si>
  <si>
    <t>11:30</t>
  </si>
  <si>
    <t>19:30</t>
  </si>
  <si>
    <t>11:45</t>
  </si>
  <si>
    <t>17:45</t>
  </si>
  <si>
    <t>12:00</t>
  </si>
  <si>
    <t>20:00</t>
  </si>
  <si>
    <t>12:15</t>
  </si>
  <si>
    <t>18:15</t>
  </si>
  <si>
    <t>20:30</t>
  </si>
  <si>
    <t>18:45</t>
  </si>
  <si>
    <t>19:45</t>
  </si>
  <si>
    <t>14:40</t>
  </si>
  <si>
    <t>20:40</t>
  </si>
  <si>
    <t>19:15</t>
  </si>
  <si>
    <t>20:15</t>
  </si>
  <si>
    <t>20:45</t>
  </si>
  <si>
    <t>14:20</t>
  </si>
  <si>
    <t>20:20</t>
  </si>
  <si>
    <t>13:20</t>
  </si>
  <si>
    <t>19:20</t>
  </si>
  <si>
    <t>Lun</t>
  </si>
  <si>
    <t>Mar</t>
  </si>
  <si>
    <t>Mer</t>
  </si>
  <si>
    <t>Gio</t>
  </si>
  <si>
    <t>Ven</t>
  </si>
  <si>
    <t>Sab</t>
  </si>
  <si>
    <t>Dom</t>
  </si>
  <si>
    <t>Riposi</t>
  </si>
  <si>
    <t>Ore</t>
  </si>
  <si>
    <t>Nome</t>
  </si>
  <si>
    <t>Inizio fascia</t>
  </si>
  <si>
    <t>Fine fascia</t>
  </si>
  <si>
    <t>entrata</t>
  </si>
  <si>
    <t>uscita</t>
  </si>
  <si>
    <t>id dipendente</t>
  </si>
  <si>
    <t>BETA_SLOT</t>
  </si>
  <si>
    <t>SLOPE_BETA</t>
  </si>
  <si>
    <t>BUCKET_GAIN</t>
  </si>
  <si>
    <t>SHIFT_SLIDE_MIN</t>
  </si>
  <si>
    <t>MAX_TURNS_PER_DAY</t>
  </si>
  <si>
    <t>MIN_BREAK_MIN</t>
  </si>
  <si>
    <t>COVERAGE_FACTOR</t>
  </si>
  <si>
    <t>WEEKEND_REST_PENALTY</t>
  </si>
  <si>
    <t>HOTSET_SIZE</t>
  </si>
  <si>
    <t>CLUSTER_PENALTY</t>
  </si>
  <si>
    <t>STAGGER_BONUS</t>
  </si>
  <si>
    <t>WASTE_PENALTY</t>
  </si>
  <si>
    <t>COOLDOWN_PENALTY</t>
  </si>
  <si>
    <t>SOFTCAP_RATIO</t>
  </si>
  <si>
    <t>DEBUG_LOG</t>
  </si>
  <si>
    <t>BUCKET_PREF_MOR</t>
  </si>
  <si>
    <t>BUCKET_PREF_MID</t>
  </si>
  <si>
    <t>BUCKET_PREF_EVE</t>
  </si>
  <si>
    <t>parametro</t>
  </si>
  <si>
    <t>valore</t>
  </si>
  <si>
    <t>Legenda rapida (cosa toccare e perché)</t>
  </si>
  <si>
    <t>Distribuzione capacità (segue la curva Requisiti)</t>
  </si>
  <si>
    <r>
      <t>BETA_SLOT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(0.3–1.2, def 0.6)</t>
    </r>
  </si>
  <si>
    <t>Aumenta quanto il motore spinge dove i requisiti sono sopra la media. Più alto ⇒ più persone nei picchi, meno nelle valli.</t>
  </si>
  <si>
    <r>
      <t>SLOPE_BETA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(0.2–1.0, def 0.4)</t>
    </r>
  </si>
  <si>
    <r>
      <t xml:space="preserve">Premia i </t>
    </r>
    <r>
      <rPr>
        <b/>
        <sz val="11"/>
        <color theme="1"/>
        <rFont val="Calibri"/>
        <family val="2"/>
        <scheme val="minor"/>
      </rPr>
      <t>ramp-up</t>
    </r>
    <r>
      <rPr>
        <sz val="11"/>
        <color theme="1"/>
        <rFont val="Calibri"/>
        <family val="2"/>
        <scheme val="minor"/>
      </rPr>
      <t xml:space="preserve"> (aperture/salite). Più alto ⇒ più gente </t>
    </r>
    <r>
      <rPr>
        <b/>
        <sz val="11"/>
        <color theme="1"/>
        <rFont val="Calibri"/>
        <family val="2"/>
        <scheme val="minor"/>
      </rPr>
      <t>in apertura</t>
    </r>
    <r>
      <rPr>
        <sz val="11"/>
        <color theme="1"/>
        <rFont val="Calibri"/>
        <family val="2"/>
        <scheme val="minor"/>
      </rPr>
      <t>.</t>
    </r>
  </si>
  <si>
    <r>
      <t>BUCKET_GAIN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(20–60, def 35)</t>
    </r>
  </si>
  <si>
    <t>Peso del bilanciamento tra fasce MOR/MID/EVE. Più alto ⇒ rispetta di più la “quota” per fascia.</t>
  </si>
  <si>
    <r>
      <t xml:space="preserve">(se hai attivato i pesi di daypart) </t>
    </r>
    <r>
      <rPr>
        <sz val="10"/>
        <color theme="1"/>
        <rFont val="Arial Unicode MS"/>
      </rPr>
      <t>BUCKET_PREF_MOR / MID / EVE</t>
    </r>
  </si>
  <si>
    <t>es. MOR 1.25, MID 0.85, EVE 1.05 per spingere mattina e scaricare il centro.</t>
  </si>
  <si>
    <t>Turni &amp; start</t>
  </si>
  <si>
    <r>
      <t>SHIFT_SLIDE_MIN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(15/30/60, def 15)</t>
    </r>
  </si>
  <si>
    <r>
      <t xml:space="preserve">Granularità di scorrimento dei turni virtuali. 15 = abilita start a </t>
    </r>
    <r>
      <rPr>
        <b/>
        <sz val="11"/>
        <color theme="1"/>
        <rFont val="Calibri"/>
        <family val="2"/>
        <scheme val="minor"/>
      </rPr>
      <t>:15/:30/:45</t>
    </r>
    <r>
      <rPr>
        <sz val="11"/>
        <color theme="1"/>
        <rFont val="Calibri"/>
        <family val="2"/>
        <scheme val="minor"/>
      </rPr>
      <t>.</t>
    </r>
  </si>
  <si>
    <r>
      <t>WINDOW_TOL_MIN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(0–30, def 15)</t>
    </r>
  </si>
  <si>
    <t>Tolleranza sui vincoli finestra lavorativa. Più alto = leggermente più elastico sugli orari.</t>
  </si>
  <si>
    <t>Riposi, pause, ore</t>
  </si>
  <si>
    <r>
      <t>MAX_TURNS_PER_DAY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(1–3, def 2)</t>
    </r>
  </si>
  <si>
    <t>Quanti turni max per risorsa al giorno.</t>
  </si>
  <si>
    <r>
      <t>MIN_BREAK_MIN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(15–60, def 30)</t>
    </r>
  </si>
  <si>
    <t>Pausa minima tra due turni della stessa persona.</t>
  </si>
  <si>
    <r>
      <t>SOFTCAP_RATIO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(0.6–1.0, def 0.8)</t>
    </r>
  </si>
  <si>
    <t>Oltre questa % delle ore giornaliere, il gain scende (evita concentrare troppe ore sulle stesse persone).</t>
  </si>
  <si>
    <r>
      <t>COVERAGE_FACTOR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(0.8–1.2, def 1.0)</t>
    </r>
  </si>
  <si>
    <r>
      <t xml:space="preserve">Quante persone </t>
    </r>
    <r>
      <rPr>
        <b/>
        <sz val="11"/>
        <color theme="1"/>
        <rFont val="Calibri"/>
        <family val="2"/>
        <scheme val="minor"/>
      </rPr>
      <t>minime</t>
    </r>
    <r>
      <rPr>
        <sz val="11"/>
        <color theme="1"/>
        <rFont val="Calibri"/>
        <family val="2"/>
        <scheme val="minor"/>
      </rPr>
      <t xml:space="preserve"> attive nei picchi (usato per limitare i riposi). Più alto ⇒ meno riposi nei giorni “caldi”.</t>
    </r>
  </si>
  <si>
    <r>
      <t>WEEKEND_REST_PENALTY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(800–2000, def 1200)</t>
    </r>
  </si>
  <si>
    <t>Penalità a dare riposo nel weekend (aumentala se vuoi più presenza Sab/Dom).</t>
  </si>
  <si>
    <t>Stile assegnazioni</t>
  </si>
  <si>
    <r>
      <t>CLUSTER_PENALTY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(3–10, def 6)</t>
    </r>
  </si>
  <si>
    <t>Evita troppi turni con lo stesso start.</t>
  </si>
  <si>
    <r>
      <t>STAGGER_BONUS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(2–8, def 4)</t>
    </r>
  </si>
  <si>
    <r>
      <t xml:space="preserve">Favorisce la </t>
    </r>
    <r>
      <rPr>
        <b/>
        <sz val="11"/>
        <color theme="1"/>
        <rFont val="Calibri"/>
        <family val="2"/>
        <scheme val="minor"/>
      </rPr>
      <t>sfalsatura</t>
    </r>
    <r>
      <rPr>
        <sz val="11"/>
        <color theme="1"/>
        <rFont val="Calibri"/>
        <family val="2"/>
        <scheme val="minor"/>
      </rPr>
      <t xml:space="preserve"> dei start (:00/:15/:30/:45).</t>
    </r>
  </si>
  <si>
    <r>
      <t>WASTE_PENALTY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(5–12, def 8)</t>
    </r>
  </si>
  <si>
    <t>Penalizza assegnazioni dove non c’è deficit (riduce over-staffing).</t>
  </si>
  <si>
    <r>
      <t>COOLDOWN_PENALTY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(2–6, def 3)</t>
    </r>
  </si>
  <si>
    <r>
      <t xml:space="preserve">Sconsiglia scegliere due start consecutivi nella </t>
    </r>
    <r>
      <rPr>
        <b/>
        <sz val="11"/>
        <color theme="1"/>
        <rFont val="Calibri"/>
        <family val="2"/>
        <scheme val="minor"/>
      </rPr>
      <t>stessa ora</t>
    </r>
    <r>
      <rPr>
        <sz val="11"/>
        <color theme="1"/>
        <rFont val="Calibri"/>
        <family val="2"/>
        <scheme val="minor"/>
      </rPr>
      <t>.</t>
    </r>
  </si>
  <si>
    <t>Performance (senza intaccare il risultato)</t>
  </si>
  <si>
    <r>
      <t>HOTSET_SIZE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(4–8, def 6)</t>
    </r>
  </si>
  <si>
    <t>Quanti “slot caldi” guardare a ogni iterazione. Più basso ⇒ più veloce.</t>
  </si>
  <si>
    <r>
      <t>DEBUG_LOG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(True/False, def False)</t>
    </r>
  </si>
  <si>
    <r>
      <t xml:space="preserve">Spegni i </t>
    </r>
    <r>
      <rPr>
        <sz val="10"/>
        <color theme="1"/>
        <rFont val="Arial Unicode MS"/>
      </rPr>
      <t>Debug.Print</t>
    </r>
    <r>
      <rPr>
        <sz val="11"/>
        <color theme="1"/>
        <rFont val="Calibri"/>
        <family val="2"/>
        <scheme val="minor"/>
      </rPr>
      <t xml:space="preserve"> durante il run.</t>
    </r>
  </si>
  <si>
    <t>MINUTE_BIAS_00</t>
  </si>
  <si>
    <t>MINUTE_BIAS_15</t>
  </si>
  <si>
    <t>MINUTE_BIAS_30</t>
  </si>
  <si>
    <t>MINUTE_BIAS_45</t>
  </si>
  <si>
    <t>HOUR_SAT_PENALTY</t>
  </si>
  <si>
    <t>Parametri (Config)</t>
  </si>
  <si>
    <r>
      <t>BETA_SLOT</t>
    </r>
    <r>
      <rPr>
        <sz val="11"/>
        <color theme="1"/>
        <rFont val="Calibri"/>
        <family val="2"/>
        <scheme val="minor"/>
      </rPr>
      <t xml:space="preserve"> (≈0.2–1.2)</t>
    </r>
  </si>
  <si>
    <t>Aumenta il peso degli slot con domanda sopra media. ↑ = più aggressivo sui picchi.</t>
  </si>
  <si>
    <r>
      <t>SLOPE_BETA</t>
    </r>
    <r>
      <rPr>
        <sz val="11"/>
        <color theme="1"/>
        <rFont val="Calibri"/>
        <family val="2"/>
        <scheme val="minor"/>
      </rPr>
      <t xml:space="preserve"> (0–1.5)</t>
    </r>
  </si>
  <si>
    <r>
      <t xml:space="preserve">Premia gli inizi che precedono </t>
    </r>
    <r>
      <rPr>
        <b/>
        <sz val="11"/>
        <color theme="1"/>
        <rFont val="Calibri"/>
        <family val="2"/>
        <scheme val="minor"/>
      </rPr>
      <t>rampe in salita</t>
    </r>
    <r>
      <rPr>
        <sz val="11"/>
        <color theme="1"/>
        <rFont val="Calibri"/>
        <family val="2"/>
        <scheme val="minor"/>
      </rPr>
      <t xml:space="preserve"> della domanda. ↑ = più “preventivo”.</t>
    </r>
  </si>
  <si>
    <r>
      <t>BUCKET_GAIN</t>
    </r>
    <r>
      <rPr>
        <sz val="11"/>
        <color theme="1"/>
        <rFont val="Calibri"/>
        <family val="2"/>
        <scheme val="minor"/>
      </rPr>
      <t xml:space="preserve"> (20–300)</t>
    </r>
  </si>
  <si>
    <t>Ricompensa l’assegnazione nel bucket meno coperto (MOR/MID/EVE). ↑ = bilanciamento più forte.</t>
  </si>
  <si>
    <r>
      <t>SHIFT_SLIDE_MIN</t>
    </r>
    <r>
      <rPr>
        <sz val="11"/>
        <color theme="1"/>
        <rFont val="Calibri"/>
        <family val="2"/>
        <scheme val="minor"/>
      </rPr>
      <t xml:space="preserve"> (5–30 min)</t>
    </r>
  </si>
  <si>
    <t>Grana delle partenze generate dai turni base. ↓ = più varietà (ma più lento).</t>
  </si>
  <si>
    <r>
      <t>HOTSET_SIZE</t>
    </r>
    <r>
      <rPr>
        <sz val="11"/>
        <color theme="1"/>
        <rFont val="Calibri"/>
        <family val="2"/>
        <scheme val="minor"/>
      </rPr>
      <t xml:space="preserve"> (6–24)</t>
    </r>
  </si>
  <si>
    <t>Quanti slot “caldi” guardare. ↑ = più concentrato sui deficit maggiori.</t>
  </si>
  <si>
    <r>
      <t>MAX_TURNS_PER_DAY</t>
    </r>
    <r>
      <rPr>
        <sz val="11"/>
        <color theme="1"/>
        <rFont val="Calibri"/>
        <family val="2"/>
        <scheme val="minor"/>
      </rPr>
      <t xml:space="preserve"> (1–3)</t>
    </r>
  </si>
  <si>
    <t>Limite turni per risorsa al giorno.</t>
  </si>
  <si>
    <r>
      <t>MIN_BREAK_MIN</t>
    </r>
    <r>
      <rPr>
        <sz val="11"/>
        <color theme="1"/>
        <rFont val="Calibri"/>
        <family val="2"/>
        <scheme val="minor"/>
      </rPr>
      <t xml:space="preserve"> (15–120)</t>
    </r>
  </si>
  <si>
    <t>Pausa minima tra due turni della stessa risorsa.</t>
  </si>
  <si>
    <r>
      <t>COVERAGE_FACTOR</t>
    </r>
    <r>
      <rPr>
        <sz val="11"/>
        <color theme="1"/>
        <rFont val="Calibri"/>
        <family val="2"/>
        <scheme val="minor"/>
      </rPr>
      <t xml:space="preserve"> (0.8–1.2)</t>
    </r>
  </si>
  <si>
    <t>Fattore con cui stimiamo le risorse minime “attive” per calcolare i riposi. ↑ = meno riposi nei giorni caldi.</t>
  </si>
  <si>
    <r>
      <t>WEEKEND_REST_PENALTY</t>
    </r>
    <r>
      <rPr>
        <sz val="11"/>
        <color theme="1"/>
        <rFont val="Calibri"/>
        <family val="2"/>
        <scheme val="minor"/>
      </rPr>
      <t xml:space="preserve"> (0–2000)</t>
    </r>
  </si>
  <si>
    <t>Penalità a dare riposo Sab/Dom. ↑ = meno riposi nel weekend.</t>
  </si>
  <si>
    <r>
      <t>CLUSTER_PENALTY</t>
    </r>
    <r>
      <rPr>
        <sz val="11"/>
        <color theme="1"/>
        <rFont val="Calibri"/>
        <family val="2"/>
        <scheme val="minor"/>
      </rPr>
      <t xml:space="preserve"> (0–20)</t>
    </r>
  </si>
  <si>
    <r>
      <t xml:space="preserve">Penalità se troppi inizi </t>
    </r>
    <r>
      <rPr>
        <b/>
        <sz val="11"/>
        <color theme="1"/>
        <rFont val="Calibri"/>
        <family val="2"/>
        <scheme val="minor"/>
      </rPr>
      <t>nello stesso minuto</t>
    </r>
    <r>
      <rPr>
        <sz val="11"/>
        <color theme="1"/>
        <rFont val="Calibri"/>
        <family val="2"/>
        <scheme val="minor"/>
      </rPr>
      <t>. ↑ = più dispersione.</t>
    </r>
  </si>
  <si>
    <r>
      <t>STAGGER_BONUS</t>
    </r>
    <r>
      <rPr>
        <sz val="11"/>
        <color theme="1"/>
        <rFont val="Calibri"/>
        <family val="2"/>
        <scheme val="minor"/>
      </rPr>
      <t xml:space="preserve"> (0–20)</t>
    </r>
  </si>
  <si>
    <t>Bonus a scegliere il minuto meno usato dell’ora (00/15/30/45). ↑ = più scaglionamento.</t>
  </si>
  <si>
    <r>
      <t>WASTE_PENALTY</t>
    </r>
    <r>
      <rPr>
        <sz val="11"/>
        <color theme="1"/>
        <rFont val="Calibri"/>
        <family val="2"/>
        <scheme val="minor"/>
      </rPr>
      <t xml:space="preserve"> (0–20)</t>
    </r>
  </si>
  <si>
    <t>Penalità a coprire slot già saturi. ↑ = meno over-coverage.</t>
  </si>
  <si>
    <r>
      <t>COOLDOWN_PENALTY</t>
    </r>
    <r>
      <rPr>
        <sz val="11"/>
        <color theme="1"/>
        <rFont val="Calibri"/>
        <family val="2"/>
        <scheme val="minor"/>
      </rPr>
      <t xml:space="preserve"> (0–20)</t>
    </r>
  </si>
  <si>
    <r>
      <t xml:space="preserve">Penalità se si continua a scegliere </t>
    </r>
    <r>
      <rPr>
        <b/>
        <sz val="11"/>
        <color theme="1"/>
        <rFont val="Calibri"/>
        <family val="2"/>
        <scheme val="minor"/>
      </rPr>
      <t>la stessa ora</t>
    </r>
    <r>
      <rPr>
        <sz val="11"/>
        <color theme="1"/>
        <rFont val="Calibri"/>
        <family val="2"/>
        <scheme val="minor"/>
      </rPr>
      <t xml:space="preserve"> consecutiva. ↑ = più varietà tra ore.</t>
    </r>
  </si>
  <si>
    <r>
      <t>SOFTCAP_RATIO</t>
    </r>
    <r>
      <rPr>
        <sz val="11"/>
        <color theme="1"/>
        <rFont val="Calibri"/>
        <family val="2"/>
        <scheme val="minor"/>
      </rPr>
      <t xml:space="preserve"> (0.5–0.95)</t>
    </r>
  </si>
  <si>
    <t>Soglia “soft” delle ore/giorno oltre cui penalizzare la stessa risorsa. ↓ = più distribuzione tra persone.</t>
  </si>
  <si>
    <r>
      <t>BUCKET_PREF_MOR / MID / EVE</t>
    </r>
    <r>
      <rPr>
        <sz val="11"/>
        <color theme="1"/>
        <rFont val="Calibri"/>
        <family val="2"/>
        <scheme val="minor"/>
      </rPr>
      <t xml:space="preserve"> (0.1–2.0)</t>
    </r>
  </si>
  <si>
    <t>Pesi per preferire mattina / metà / sera.</t>
  </si>
  <si>
    <r>
      <t xml:space="preserve">Esempio: per ottenere più ingressi 9:30–10:30 alza </t>
    </r>
    <r>
      <rPr>
        <b/>
        <sz val="11"/>
        <color theme="1"/>
        <rFont val="Calibri"/>
        <family val="2"/>
        <scheme val="minor"/>
      </rPr>
      <t>MID</t>
    </r>
    <r>
      <rPr>
        <sz val="11"/>
        <color theme="1"/>
        <rFont val="Calibri"/>
        <family val="2"/>
        <scheme val="minor"/>
      </rPr>
      <t xml:space="preserve"> verso 0.8–1.0 (se ora è 0.15 è troppo penalizzato).</t>
    </r>
  </si>
  <si>
    <r>
      <t>MINUTE_BIAS_00 / 15 / 30 / 45</t>
    </r>
    <r>
      <rPr>
        <sz val="11"/>
        <color theme="1"/>
        <rFont val="Calibri"/>
        <family val="2"/>
        <scheme val="minor"/>
      </rPr>
      <t xml:space="preserve"> (-5…15)</t>
    </r>
  </si>
  <si>
    <t>Bias additivi sui minuti. ↑ su 15/30/45 = più partenze a :15/:30/:45.</t>
  </si>
  <si>
    <t>(Valori negativi scoraggiano quel minuto.)</t>
  </si>
  <si>
    <r>
      <t>HOUR_SAT_PENALTY</t>
    </r>
    <r>
      <rPr>
        <sz val="11"/>
        <color theme="1"/>
        <rFont val="Calibri"/>
        <family val="2"/>
        <scheme val="minor"/>
      </rPr>
      <t xml:space="preserve"> (0–20)</t>
    </r>
  </si>
  <si>
    <r>
      <t xml:space="preserve">Penalità per </t>
    </r>
    <r>
      <rPr>
        <b/>
        <sz val="11"/>
        <color theme="1"/>
        <rFont val="Calibri"/>
        <family val="2"/>
        <scheme val="minor"/>
      </rPr>
      <t>ogni ulteriore</t>
    </r>
    <r>
      <rPr>
        <sz val="11"/>
        <color theme="1"/>
        <rFont val="Calibri"/>
        <family val="2"/>
        <scheme val="minor"/>
      </rPr>
      <t xml:space="preserve"> inizio nella stessa </t>
    </r>
    <r>
      <rPr>
        <b/>
        <sz val="11"/>
        <color theme="1"/>
        <rFont val="Calibri"/>
        <family val="2"/>
        <scheme val="minor"/>
      </rPr>
      <t>ora</t>
    </r>
    <r>
      <rPr>
        <sz val="11"/>
        <color theme="1"/>
        <rFont val="Calibri"/>
        <family val="2"/>
        <scheme val="minor"/>
      </rPr>
      <t xml:space="preserve"> oltre il primo. ↑ = meno “ammassi” alle 09:00.</t>
    </r>
  </si>
  <si>
    <r>
      <t>DEBUG_LOG</t>
    </r>
    <r>
      <rPr>
        <sz val="11"/>
        <color theme="1"/>
        <rFont val="Calibri"/>
        <family val="2"/>
        <scheme val="minor"/>
      </rPr>
      <t xml:space="preserve"> (TRUE/FALSE)</t>
    </r>
  </si>
  <si>
    <t>Abilita log di diagnostica in Immediate Window.</t>
  </si>
  <si>
    <t>Parametri fissi (non su Config, ma presenti nel codice)</t>
  </si>
  <si>
    <r>
      <t>ALPHA_DEFICIT</t>
    </r>
    <r>
      <rPr>
        <sz val="11"/>
        <color theme="1"/>
        <rFont val="Calibri"/>
        <family val="2"/>
        <scheme val="minor"/>
      </rPr>
      <t xml:space="preserve"> (1.25) intensità premio in slot in deficit.</t>
    </r>
  </si>
  <si>
    <r>
      <t>FAIR_ALPHA</t>
    </r>
    <r>
      <rPr>
        <sz val="11"/>
        <color theme="1"/>
        <rFont val="Calibri"/>
        <family val="2"/>
        <scheme val="minor"/>
      </rPr>
      <t xml:space="preserve"> (0.25) riequilibrio ore totali tra persone.</t>
    </r>
  </si>
  <si>
    <r>
      <t>MIN_DEFICIT_SLOTS</t>
    </r>
    <r>
      <rPr>
        <sz val="11"/>
        <color theme="1"/>
        <rFont val="Calibri"/>
        <family val="2"/>
        <scheme val="minor"/>
      </rPr>
      <t xml:space="preserve"> (1) copertura minima perché un turno “conti”.</t>
    </r>
  </si>
  <si>
    <r>
      <t>HOT_RADIUS_SLOTS</t>
    </r>
    <r>
      <rPr>
        <sz val="11"/>
        <color theme="1"/>
        <rFont val="Calibri"/>
        <family val="2"/>
        <scheme val="minor"/>
      </rPr>
      <t xml:space="preserve"> (1) raggio attorno agli hot slot.</t>
    </r>
  </si>
  <si>
    <r>
      <t>WINDOW_TOL_MIN</t>
    </r>
    <r>
      <rPr>
        <sz val="11"/>
        <color theme="1"/>
        <rFont val="Calibri"/>
        <family val="2"/>
        <scheme val="minor"/>
      </rPr>
      <t xml:space="preserve"> (15) tolleranza sulla finestra risorsa.</t>
    </r>
  </si>
  <si>
    <t>Come leggere la colonna “Note”</t>
  </si>
  <si>
    <r>
      <t xml:space="preserve">Formato: </t>
    </r>
    <r>
      <rPr>
        <b/>
        <sz val="10"/>
        <color theme="1"/>
        <rFont val="Arial Unicode MS"/>
      </rPr>
      <t>X% in deficit (a/b)</t>
    </r>
  </si>
  <si>
    <r>
      <t>b</t>
    </r>
    <r>
      <rPr>
        <sz val="11"/>
        <color theme="1"/>
        <rFont val="Calibri"/>
        <family val="2"/>
        <scheme val="minor"/>
      </rPr>
      <t xml:space="preserve"> = n. di slot del turno dove la domanda è &gt; 0.</t>
    </r>
  </si>
  <si>
    <r>
      <t>a</t>
    </r>
    <r>
      <rPr>
        <sz val="11"/>
        <color theme="1"/>
        <rFont val="Calibri"/>
        <family val="2"/>
        <scheme val="minor"/>
      </rPr>
      <t xml:space="preserve"> = di quei b, quanti erano </t>
    </r>
    <r>
      <rPr>
        <b/>
        <sz val="11"/>
        <color theme="1"/>
        <rFont val="Calibri"/>
        <family val="2"/>
        <scheme val="minor"/>
      </rPr>
      <t>ancora scoperti</t>
    </r>
    <r>
      <rPr>
        <sz val="11"/>
        <color theme="1"/>
        <rFont val="Calibri"/>
        <family val="2"/>
        <scheme val="minor"/>
      </rPr>
      <t xml:space="preserve"> al momento dell’assegnazione.</t>
    </r>
  </si>
  <si>
    <r>
      <t>X% = a/b</t>
    </r>
    <r>
      <rPr>
        <sz val="11"/>
        <color theme="1"/>
        <rFont val="Calibri"/>
        <family val="2"/>
        <scheme val="minor"/>
      </rPr>
      <t xml:space="preserve"> → quota del turno che riduce davvero il deficit.</t>
    </r>
  </si>
  <si>
    <t>Colori:</t>
  </si>
  <si>
    <r>
      <t>Verde</t>
    </r>
    <r>
      <rPr>
        <sz val="11"/>
        <color theme="1"/>
        <rFont val="Calibri"/>
        <family val="2"/>
        <scheme val="minor"/>
      </rPr>
      <t>: 100% → tutto il turno cade in deficit (massima utilità).</t>
    </r>
  </si>
  <si>
    <r>
      <t>Arancione</t>
    </r>
    <r>
      <rPr>
        <sz val="11"/>
        <color theme="1"/>
        <rFont val="Calibri"/>
        <family val="2"/>
        <scheme val="minor"/>
      </rPr>
      <t>: 75–99% → molto buono, piccola coda in surplus.</t>
    </r>
  </si>
  <si>
    <r>
      <t>Rosso</t>
    </r>
    <r>
      <rPr>
        <sz val="11"/>
        <color theme="1"/>
        <rFont val="Calibri"/>
        <family val="2"/>
        <scheme val="minor"/>
      </rPr>
      <t>: &lt;75% → utile ma con tratti coperti; da rivedere se ricorrente.</t>
    </r>
  </si>
  <si>
    <t>Dritte rapide (per la varietà mattina)</t>
  </si>
  <si>
    <r>
      <t xml:space="preserve">Aumenta </t>
    </r>
    <r>
      <rPr>
        <b/>
        <sz val="11"/>
        <color theme="1"/>
        <rFont val="Calibri"/>
        <family val="2"/>
        <scheme val="minor"/>
      </rPr>
      <t>BUCKET_PREF_MID</t>
    </r>
    <r>
      <rPr>
        <sz val="11"/>
        <color theme="1"/>
        <rFont val="Calibri"/>
        <family val="2"/>
        <scheme val="minor"/>
      </rPr>
      <t xml:space="preserve"> a ~0.8–1.0.</t>
    </r>
  </si>
  <si>
    <r>
      <t xml:space="preserve">Imposta </t>
    </r>
    <r>
      <rPr>
        <b/>
        <sz val="11"/>
        <color theme="1"/>
        <rFont val="Calibri"/>
        <family val="2"/>
        <scheme val="minor"/>
      </rPr>
      <t>MINUTE_BIAS_15/30/45</t>
    </r>
    <r>
      <rPr>
        <sz val="11"/>
        <color theme="1"/>
        <rFont val="Calibri"/>
        <family val="2"/>
        <scheme val="minor"/>
      </rPr>
      <t xml:space="preserve"> a 10/8/6 (esempio), </t>
    </r>
    <r>
      <rPr>
        <b/>
        <sz val="11"/>
        <color theme="1"/>
        <rFont val="Calibri"/>
        <family val="2"/>
        <scheme val="minor"/>
      </rPr>
      <t>00</t>
    </r>
    <r>
      <rPr>
        <sz val="11"/>
        <color theme="1"/>
        <rFont val="Calibri"/>
        <family val="2"/>
        <scheme val="minor"/>
      </rPr>
      <t xml:space="preserve"> a 0.</t>
    </r>
  </si>
  <si>
    <r>
      <t xml:space="preserve">Porta </t>
    </r>
    <r>
      <rPr>
        <b/>
        <sz val="11"/>
        <color theme="1"/>
        <rFont val="Calibri"/>
        <family val="2"/>
        <scheme val="minor"/>
      </rPr>
      <t>HOUR_SAT_PENALTY</t>
    </r>
    <r>
      <rPr>
        <sz val="11"/>
        <color theme="1"/>
        <rFont val="Calibri"/>
        <family val="2"/>
        <scheme val="minor"/>
      </rPr>
      <t xml:space="preserve"> a 10–14 per non mettere tutti alle 09:00.</t>
    </r>
  </si>
  <si>
    <t>MIN_ASSIGN_MIN</t>
  </si>
  <si>
    <t>MIN_ASSIGN_RATIO</t>
  </si>
  <si>
    <t>00:15-00:30</t>
  </si>
  <si>
    <t>00:30-00:45</t>
  </si>
  <si>
    <t>00:45-01:00</t>
  </si>
  <si>
    <t>01:00-01:15</t>
  </si>
  <si>
    <t>01:15-01:30</t>
  </si>
  <si>
    <t>01:30-01:45</t>
  </si>
  <si>
    <t>01:45-02:00</t>
  </si>
  <si>
    <t>02:00-02:15</t>
  </si>
  <si>
    <t>02:15-02:30</t>
  </si>
  <si>
    <t>02:30-02:45</t>
  </si>
  <si>
    <t>02:45-03:00</t>
  </si>
  <si>
    <t>03:00-03:15</t>
  </si>
  <si>
    <t>03:15-03:30</t>
  </si>
  <si>
    <t>03:30-03:45</t>
  </si>
  <si>
    <t>03:45-04:00</t>
  </si>
  <si>
    <t>04:00-04:15</t>
  </si>
  <si>
    <t>04:15-04:30</t>
  </si>
  <si>
    <t>04:30-04:45</t>
  </si>
  <si>
    <t>04:45-05:00</t>
  </si>
  <si>
    <t>05:00-05:15</t>
  </si>
  <si>
    <t>05:15-05:30</t>
  </si>
  <si>
    <t>05:30-05:45</t>
  </si>
  <si>
    <t>05:45-06:00</t>
  </si>
  <si>
    <t>06:00-06:15</t>
  </si>
  <si>
    <t>06:15-06:30</t>
  </si>
  <si>
    <t>06:30-06:45</t>
  </si>
  <si>
    <t>06:45-07:00</t>
  </si>
  <si>
    <t>07:00-07:15</t>
  </si>
  <si>
    <t>07:15-07:30</t>
  </si>
  <si>
    <t>07:30-07:45</t>
  </si>
  <si>
    <t>07:45-08:00</t>
  </si>
  <si>
    <t>08:00-08:15</t>
  </si>
  <si>
    <t>08:15-08:30</t>
  </si>
  <si>
    <t>08:30-08:45</t>
  </si>
  <si>
    <t>08:45-09:00</t>
  </si>
  <si>
    <t>21:00-21:15</t>
  </si>
  <si>
    <t>21:15-21:30</t>
  </si>
  <si>
    <t>21:30-21:45</t>
  </si>
  <si>
    <t>21:45-22:00</t>
  </si>
  <si>
    <t>22:00-22:15</t>
  </si>
  <si>
    <t>22:15-22:30</t>
  </si>
  <si>
    <t>22:30-22:45</t>
  </si>
  <si>
    <t>22:45-23:00</t>
  </si>
  <si>
    <t>23:00-23:15</t>
  </si>
  <si>
    <t>23:15-23:30</t>
  </si>
  <si>
    <t>23:30-23:45</t>
  </si>
  <si>
    <t>23:45-00:00</t>
  </si>
  <si>
    <t>MAX_STARTS_PER_HOUR</t>
  </si>
  <si>
    <t>MID_SHARE_CAP</t>
  </si>
  <si>
    <t>Lunedì</t>
  </si>
  <si>
    <t>Martedì</t>
  </si>
  <si>
    <t>Mercoledì</t>
  </si>
  <si>
    <t>Giovedì</t>
  </si>
  <si>
    <t>Venerdì</t>
  </si>
  <si>
    <t>Sabato</t>
  </si>
  <si>
    <t>domenica</t>
  </si>
  <si>
    <t>Condello Danilo</t>
  </si>
  <si>
    <t>D'alessandro Giovanni</t>
  </si>
  <si>
    <t>Lisciandrello Ignazio</t>
  </si>
  <si>
    <t>Arnone Carmelina</t>
  </si>
  <si>
    <t>Busalacchi Fortunata</t>
  </si>
  <si>
    <t>Campo Cristina</t>
  </si>
  <si>
    <t>Campo Maria</t>
  </si>
  <si>
    <t>Cappuzzello Elena</t>
  </si>
  <si>
    <t>Di Cecco Beatrice</t>
  </si>
  <si>
    <t>Donato Biagia</t>
  </si>
  <si>
    <t>Finzi Bibiana</t>
  </si>
  <si>
    <t>Gambino Giuliana</t>
  </si>
  <si>
    <t>Ganci Elvira</t>
  </si>
  <si>
    <t>Maggiore Vincenza</t>
  </si>
  <si>
    <t>Marino Francesco</t>
  </si>
  <si>
    <t>Mineo Graziella</t>
  </si>
  <si>
    <t>Rossi Carlo</t>
  </si>
  <si>
    <t>Russo Grazia</t>
  </si>
  <si>
    <t>Trapani Silvia</t>
  </si>
  <si>
    <t>Vaghetto Marianna</t>
  </si>
  <si>
    <t>Velardi Giulia</t>
  </si>
  <si>
    <t>Cirillo Rodolfo</t>
  </si>
  <si>
    <t>Pilato Simone</t>
  </si>
  <si>
    <t>DI Liddo Sabrina</t>
  </si>
  <si>
    <t>cf1</t>
  </si>
  <si>
    <t>cf4</t>
  </si>
  <si>
    <t>cf5</t>
  </si>
  <si>
    <t>cf7</t>
  </si>
  <si>
    <t>cf9</t>
  </si>
  <si>
    <t>cf10</t>
  </si>
  <si>
    <t>cf11</t>
  </si>
  <si>
    <t>cf12</t>
  </si>
  <si>
    <t>cf15</t>
  </si>
  <si>
    <t>cf16</t>
  </si>
  <si>
    <t>cf17</t>
  </si>
  <si>
    <t>cf18</t>
  </si>
  <si>
    <t>cf19</t>
  </si>
  <si>
    <t>cf20</t>
  </si>
  <si>
    <t>sabato</t>
  </si>
  <si>
    <t>nro di volte in sede</t>
  </si>
  <si>
    <t xml:space="preserve">blocco turno 9-13  </t>
  </si>
  <si>
    <t/>
  </si>
  <si>
    <t>Operatore</t>
  </si>
  <si>
    <t>D'Alessandro Giovanni</t>
  </si>
  <si>
    <t>Velardi Elena</t>
  </si>
  <si>
    <t>Bonura Letizia</t>
  </si>
  <si>
    <t>Lo Iacono Gaspare</t>
  </si>
  <si>
    <t>Monteleone Giuseppe</t>
  </si>
  <si>
    <t>Navarra Annunziata</t>
  </si>
  <si>
    <t>OT lun</t>
  </si>
  <si>
    <t>OT mar</t>
  </si>
  <si>
    <t>OT mer</t>
  </si>
  <si>
    <t>OT gio</t>
  </si>
  <si>
    <t>OT ven</t>
  </si>
  <si>
    <t>OT sab</t>
  </si>
  <si>
    <t>OT dom</t>
  </si>
  <si>
    <t>OT Spezz</t>
  </si>
  <si>
    <t>Riposo</t>
  </si>
  <si>
    <t>Riposo weekend suggerito</t>
  </si>
  <si>
    <t>Sab lavorati (8w)</t>
  </si>
  <si>
    <t>Dom lavorate (8w)</t>
  </si>
  <si>
    <t>Suggerimento lavoro WE</t>
  </si>
  <si>
    <t>% Sab lavorati</t>
  </si>
  <si>
    <t>% Dom lavorate</t>
  </si>
  <si>
    <t>% Mattine</t>
  </si>
  <si>
    <t>% Pomeriggi</t>
  </si>
  <si>
    <t>% Sere</t>
  </si>
  <si>
    <t>WE doppi (Sab+Dom)</t>
  </si>
  <si>
    <t>% WE doppi (Sab+Dom)</t>
  </si>
  <si>
    <t>Giorno</t>
  </si>
  <si>
    <t>OvercapPercent</t>
  </si>
  <si>
    <t>OvercapPenalty</t>
  </si>
  <si>
    <t>Seq Sab (old?recent)</t>
  </si>
  <si>
    <t>Seq Dom (old?recent)</t>
  </si>
  <si>
    <t>Filomena Faccenda</t>
  </si>
  <si>
    <t>Alfredo Saviano</t>
  </si>
  <si>
    <t>Chiara Parisi</t>
  </si>
  <si>
    <t>Grazia Gambardella</t>
  </si>
  <si>
    <t>Simona Sorrentino</t>
  </si>
  <si>
    <t>Viviana Caiazzo</t>
  </si>
  <si>
    <t>Antonio Reccia</t>
  </si>
  <si>
    <t>Valentina Buonfino</t>
  </si>
  <si>
    <t>Vincenza De Micco</t>
  </si>
  <si>
    <t>Claudia Celestino</t>
  </si>
  <si>
    <t>Martina Matteo</t>
  </si>
  <si>
    <t>Antonia D'Angelo</t>
  </si>
  <si>
    <t>Rosalinda Guadagno</t>
  </si>
  <si>
    <t>Valentina D'Anna</t>
  </si>
  <si>
    <t>Greta Amita</t>
  </si>
  <si>
    <t>Carmela Liotti</t>
  </si>
  <si>
    <t>Alessia D'Angelo</t>
  </si>
  <si>
    <t>Ilaria Majer</t>
  </si>
  <si>
    <t>Fortuna Guarino</t>
  </si>
  <si>
    <t>Simona Carotenuto</t>
  </si>
  <si>
    <t>a101</t>
  </si>
  <si>
    <t>a102</t>
  </si>
  <si>
    <t>a103</t>
  </si>
  <si>
    <t>a104</t>
  </si>
  <si>
    <t>Inzio spezzato</t>
  </si>
  <si>
    <t>Fine spezzato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</si>
</sst>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[h]:mm:ss;@"/>
    <numFmt numFmtId="165" formatCode="h:mm;@"/>
    <numFmt numFmtId="166" formatCode="[$-F400]h:mm:ss\ AM/PM"/>
  </numFmts>
  <fonts count="15">
    <font>
      <sz val="11"/>
      <color theme="1"/>
      <name val="Calibri"/>
      <family val="2"/>
      <scheme val="minor"/>
    </font>
    <font>
      <b/>
      <sz val="8"/>
      <name val="Tahoma"/>
      <family val="2"/>
    </font>
    <font>
      <sz val="10"/>
      <name val="Arial"/>
      <family val="2"/>
    </font>
    <font>
      <sz val="8"/>
      <name val="Tahom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Arial Unicode MS"/>
    </font>
    <font>
      <i/>
      <sz val="11"/>
      <color theme="1"/>
      <name val="Calibri"/>
      <family val="2"/>
      <scheme val="minor"/>
    </font>
    <font>
      <b/>
      <sz val="10"/>
      <color theme="1"/>
      <name val="Arial Unicode MS"/>
    </font>
    <font>
      <sz val="11"/>
      <color theme="1"/>
      <name val="Calibri"/>
      <family val="2"/>
      <scheme val="minor"/>
    </font>
    <font>
      <sz val="11"/>
      <color rgb="FFFFFFFF"/>
      <name val="Aptos Narrow"/>
      <family val="2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02B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theme="0"/>
      </left>
      <right style="hair">
        <color theme="0"/>
      </right>
      <top style="hair">
        <color theme="0"/>
      </top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3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3" fillId="0" borderId="2" xfId="1" applyNumberFormat="1" applyFont="1" applyBorder="1" applyAlignment="1">
      <alignment horizontal="center" vertical="center"/>
    </xf>
    <xf numFmtId="1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0" fontId="0" fillId="0" borderId="0" xfId="0" applyNumberFormat="1"/>
    <xf numFmtId="165" fontId="0" fillId="0" borderId="0" xfId="0" applyNumberFormat="1"/>
    <xf numFmtId="2" fontId="0" fillId="0" borderId="0" xfId="0" applyNumberFormat="1"/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6" fillId="0" borderId="0" xfId="0" applyFont="1" applyAlignment="1">
      <alignment horizontal="left" vertical="center" indent="1"/>
    </xf>
    <xf numFmtId="166" fontId="0" fillId="0" borderId="0" xfId="2" applyNumberFormat="1" applyFont="1" applyAlignment="1">
      <alignment horizontal="center"/>
    </xf>
    <xf numFmtId="20" fontId="0" fillId="3" borderId="0" xfId="0" applyNumberFormat="1" applyFill="1"/>
    <xf numFmtId="165" fontId="0" fillId="3" borderId="0" xfId="0" applyNumberFormat="1" applyFill="1"/>
    <xf numFmtId="0" fontId="13" fillId="4" borderId="0" xfId="0" applyFont="1" applyFill="1" applyAlignment="1">
      <alignment vertical="center"/>
    </xf>
    <xf numFmtId="0" fontId="14" fillId="5" borderId="3" xfId="0" applyFont="1" applyFill="1" applyBorder="1" applyAlignment="1">
      <alignment vertical="center"/>
    </xf>
    <xf numFmtId="0" fontId="14" fillId="5" borderId="4" xfId="0" applyFont="1" applyFill="1" applyBorder="1" applyAlignment="1">
      <alignment vertical="center"/>
    </xf>
    <xf numFmtId="0" fontId="14" fillId="0" borderId="4" xfId="0" applyFont="1" applyBorder="1" applyAlignment="1">
      <alignment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49" fontId="6" fillId="6" borderId="0" xfId="0" applyNumberFormat="1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9" fontId="0" fillId="0" borderId="0" xfId="4" applyFont="1" applyAlignment="1">
      <alignment wrapText="1"/>
    </xf>
    <xf numFmtId="1" fontId="0" fillId="0" borderId="0" xfId="4" applyNumberFormat="1" applyFont="1" applyAlignment="1">
      <alignment wrapText="1"/>
    </xf>
    <xf numFmtId="0" fontId="0" fillId="0" borderId="0" xfId="0" applyAlignment="1">
      <alignment horizontal="center"/>
    </xf>
    <xf numFmtId="165" fontId="3" fillId="0" borderId="2" xfId="1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165" fontId="3" fillId="0" borderId="0" xfId="1" applyNumberFormat="1" applyFont="1" applyBorder="1" applyAlignment="1">
      <alignment horizontal="center" vertical="center"/>
    </xf>
  </cellXfs>
  <cellStyles count="5">
    <cellStyle name="Migliaia" xfId="2" builtinId="3"/>
    <cellStyle name="Migliaia 2" xfId="3" xr:uid="{A10FD788-82AC-4B19-817A-7EC563BE0CE5}"/>
    <cellStyle name="Normale" xfId="0" builtinId="0"/>
    <cellStyle name="Normale_GIUGNO" xfId="1" xr:uid="{14DEA5E3-A79F-4506-BC56-90EF01CA740A}"/>
    <cellStyle name="Percentuale" xfId="4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6FC3AD3-1F6A-4CE4-B27E-B5E785B02B5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8</xdr:row>
          <xdr:rowOff>104775</xdr:rowOff>
        </xdr:from>
        <xdr:to>
          <xdr:col>12</xdr:col>
          <xdr:colOff>561975</xdr:colOff>
          <xdr:row>16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</xdr:row>
          <xdr:rowOff>0</xdr:rowOff>
        </xdr:from>
        <xdr:to>
          <xdr:col>14</xdr:col>
          <xdr:colOff>200025</xdr:colOff>
          <xdr:row>3</xdr:row>
          <xdr:rowOff>104775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AE838-73D3-4362-A26C-A46E3E2F3CB9}">
  <dimension ref="A1:C8"/>
  <sheetViews>
    <sheetView topLeftCell="C1" workbookViewId="0">
      <selection activeCell="F38" sqref="F38"/>
    </sheetView>
  </sheetViews>
  <sheetFormatPr defaultRowHeight="15"/>
  <cols>
    <col min="2" max="2" width="13.28515625" bestFit="1" customWidth="1"/>
  </cols>
  <sheetData>
    <row r="1" spans="1:3">
      <c r="A1" t="s">
        <v>479</v>
      </c>
      <c r="B1" t="s">
        <v>480</v>
      </c>
      <c r="C1" t="s">
        <v>481</v>
      </c>
    </row>
    <row r="2" spans="1:3">
      <c r="A2" t="s">
        <v>214</v>
      </c>
      <c r="B2">
        <v>0.25</v>
      </c>
      <c r="C2">
        <v>1</v>
      </c>
    </row>
    <row r="3" spans="1:3">
      <c r="A3" t="s">
        <v>215</v>
      </c>
      <c r="B3">
        <v>0.25</v>
      </c>
      <c r="C3">
        <v>1</v>
      </c>
    </row>
    <row r="4" spans="1:3">
      <c r="A4" t="s">
        <v>216</v>
      </c>
      <c r="B4">
        <v>0.25</v>
      </c>
      <c r="C4">
        <v>1</v>
      </c>
    </row>
    <row r="5" spans="1:3">
      <c r="A5" t="s">
        <v>217</v>
      </c>
      <c r="B5">
        <v>0.25</v>
      </c>
      <c r="C5">
        <v>1</v>
      </c>
    </row>
    <row r="6" spans="1:3">
      <c r="A6" t="s">
        <v>218</v>
      </c>
      <c r="B6">
        <v>0.25</v>
      </c>
      <c r="C6">
        <v>1</v>
      </c>
    </row>
    <row r="7" spans="1:3">
      <c r="A7" t="s">
        <v>219</v>
      </c>
      <c r="B7">
        <v>0.05</v>
      </c>
      <c r="C7">
        <v>1.2</v>
      </c>
    </row>
    <row r="8" spans="1:3">
      <c r="A8" t="s">
        <v>220</v>
      </c>
      <c r="B8">
        <v>0</v>
      </c>
      <c r="C8">
        <v>1.8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7CD14-A1B3-4CED-B909-020808012783}">
  <sheetPr codeName="Foglio12"/>
  <dimension ref="A1:J96"/>
  <sheetViews>
    <sheetView topLeftCell="A42" zoomScale="90" zoomScaleNormal="90" workbookViewId="0">
      <selection activeCell="F43" sqref="F43"/>
    </sheetView>
  </sheetViews>
  <sheetFormatPr defaultRowHeight="15"/>
  <cols>
    <col min="1" max="1" width="11.85546875" customWidth="1"/>
    <col min="2" max="6" width="9.140625" style="4" customWidth="1"/>
    <col min="7" max="8" width="9.140625" style="4"/>
  </cols>
  <sheetData>
    <row r="1" spans="1:10">
      <c r="A1" t="s">
        <v>48</v>
      </c>
      <c r="B1" s="4" t="s">
        <v>214</v>
      </c>
      <c r="C1" s="4" t="s">
        <v>215</v>
      </c>
      <c r="D1" s="4" t="s">
        <v>216</v>
      </c>
      <c r="E1" s="4" t="s">
        <v>217</v>
      </c>
      <c r="F1" s="4" t="s">
        <v>218</v>
      </c>
      <c r="G1" s="4" t="s">
        <v>219</v>
      </c>
      <c r="H1" s="4" t="s">
        <v>220</v>
      </c>
    </row>
    <row r="2" spans="1:10">
      <c r="A2" t="s">
        <v>354</v>
      </c>
      <c r="B2" s="5">
        <v>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6"/>
      <c r="J2" s="6"/>
    </row>
    <row r="3" spans="1:10">
      <c r="A3" t="s">
        <v>355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6"/>
      <c r="J3" s="6"/>
    </row>
    <row r="4" spans="1:10">
      <c r="A4" t="s">
        <v>356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6"/>
      <c r="J4" s="6"/>
    </row>
    <row r="5" spans="1:10">
      <c r="A5" t="s">
        <v>357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6"/>
      <c r="J5" s="6"/>
    </row>
    <row r="6" spans="1:10">
      <c r="A6" t="s">
        <v>358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6"/>
      <c r="J6" s="6"/>
    </row>
    <row r="7" spans="1:10">
      <c r="A7" t="s">
        <v>359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6"/>
      <c r="J7" s="6"/>
    </row>
    <row r="8" spans="1:10">
      <c r="A8" t="s">
        <v>360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6"/>
      <c r="J8" s="6"/>
    </row>
    <row r="9" spans="1:10">
      <c r="A9" t="s">
        <v>361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6"/>
      <c r="J9" s="6"/>
    </row>
    <row r="10" spans="1:10">
      <c r="A10" t="s">
        <v>362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6"/>
      <c r="J10" s="6"/>
    </row>
    <row r="11" spans="1:10">
      <c r="A11" t="s">
        <v>363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6"/>
      <c r="J11" s="6"/>
    </row>
    <row r="12" spans="1:10">
      <c r="A12" t="s">
        <v>364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6"/>
      <c r="J12" s="6"/>
    </row>
    <row r="13" spans="1:10">
      <c r="A13" t="s">
        <v>365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6"/>
      <c r="J13" s="6"/>
    </row>
    <row r="14" spans="1:10">
      <c r="A14" t="s">
        <v>366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6"/>
      <c r="J14" s="6"/>
    </row>
    <row r="15" spans="1:10">
      <c r="A15" t="s">
        <v>367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6"/>
      <c r="J15" s="6"/>
    </row>
    <row r="16" spans="1:10">
      <c r="A16" t="s">
        <v>368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6"/>
      <c r="J16" s="6"/>
    </row>
    <row r="17" spans="1:10">
      <c r="A17" t="s">
        <v>369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6"/>
      <c r="J17" s="6"/>
    </row>
    <row r="18" spans="1:10">
      <c r="A18" t="s">
        <v>370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6"/>
      <c r="J18" s="6"/>
    </row>
    <row r="19" spans="1:10">
      <c r="A19" t="s">
        <v>371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6"/>
      <c r="J19" s="6"/>
    </row>
    <row r="20" spans="1:10">
      <c r="A20" t="s">
        <v>372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6"/>
      <c r="J20" s="6"/>
    </row>
    <row r="21" spans="1:10">
      <c r="A21" t="s">
        <v>373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6"/>
      <c r="J21" s="6"/>
    </row>
    <row r="22" spans="1:10">
      <c r="A22" t="s">
        <v>374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6"/>
      <c r="J22" s="6"/>
    </row>
    <row r="23" spans="1:10">
      <c r="A23" t="s">
        <v>375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6"/>
      <c r="J23" s="6"/>
    </row>
    <row r="24" spans="1:10">
      <c r="A24" t="s">
        <v>376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6"/>
      <c r="J24" s="6"/>
    </row>
    <row r="25" spans="1:10">
      <c r="A25" t="s">
        <v>377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6"/>
      <c r="J25" s="6"/>
    </row>
    <row r="26" spans="1:10">
      <c r="A26" t="s">
        <v>378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6"/>
      <c r="J26" s="6"/>
    </row>
    <row r="27" spans="1:10">
      <c r="A27" t="s">
        <v>379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6"/>
      <c r="J27" s="6"/>
    </row>
    <row r="28" spans="1:10">
      <c r="A28" t="s">
        <v>380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6"/>
      <c r="J28" s="6"/>
    </row>
    <row r="29" spans="1:10">
      <c r="A29" t="s">
        <v>381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6"/>
      <c r="J29" s="6"/>
    </row>
    <row r="30" spans="1:10">
      <c r="A30" t="s">
        <v>382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6"/>
      <c r="J30" s="6"/>
    </row>
    <row r="31" spans="1:10">
      <c r="A31" t="s">
        <v>383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6"/>
      <c r="J31" s="6"/>
    </row>
    <row r="32" spans="1:10">
      <c r="A32" t="s">
        <v>384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6"/>
      <c r="J32" s="6"/>
    </row>
    <row r="33" spans="1:10">
      <c r="A33" t="s">
        <v>385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6"/>
      <c r="J33" s="6"/>
    </row>
    <row r="34" spans="1:10">
      <c r="A34" t="s">
        <v>386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6"/>
      <c r="J34" s="6"/>
    </row>
    <row r="35" spans="1:10">
      <c r="A35" t="s">
        <v>387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6"/>
      <c r="J35" s="6"/>
    </row>
    <row r="36" spans="1:10">
      <c r="A36" t="s">
        <v>388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6"/>
      <c r="J36" s="6"/>
    </row>
    <row r="37" spans="1:10">
      <c r="A37" t="s">
        <v>0</v>
      </c>
      <c r="B37" s="5">
        <v>2</v>
      </c>
      <c r="C37" s="5">
        <v>7</v>
      </c>
      <c r="D37" s="5">
        <v>7</v>
      </c>
      <c r="E37" s="5">
        <v>7</v>
      </c>
      <c r="F37" s="5">
        <v>5</v>
      </c>
      <c r="G37" s="5">
        <v>4</v>
      </c>
      <c r="H37" s="5">
        <v>2</v>
      </c>
      <c r="I37" s="6"/>
      <c r="J37" s="6"/>
    </row>
    <row r="38" spans="1:10">
      <c r="A38" t="s">
        <v>1</v>
      </c>
      <c r="B38" s="5">
        <v>2</v>
      </c>
      <c r="C38" s="5">
        <v>11</v>
      </c>
      <c r="D38" s="5">
        <v>10</v>
      </c>
      <c r="E38" s="5">
        <v>10</v>
      </c>
      <c r="F38" s="5">
        <v>9</v>
      </c>
      <c r="G38" s="5">
        <v>5</v>
      </c>
      <c r="H38" s="5">
        <v>2</v>
      </c>
      <c r="I38" s="6"/>
      <c r="J38" s="6"/>
    </row>
    <row r="39" spans="1:10">
      <c r="A39" t="s">
        <v>2</v>
      </c>
      <c r="B39" s="5">
        <v>2</v>
      </c>
      <c r="C39" s="5">
        <v>11</v>
      </c>
      <c r="D39" s="5">
        <v>10</v>
      </c>
      <c r="E39" s="5">
        <v>10</v>
      </c>
      <c r="F39" s="5">
        <v>9</v>
      </c>
      <c r="G39" s="5">
        <v>5</v>
      </c>
      <c r="H39" s="5">
        <v>2</v>
      </c>
      <c r="I39" s="6"/>
      <c r="J39" s="6"/>
    </row>
    <row r="40" spans="1:10">
      <c r="A40" t="s">
        <v>3</v>
      </c>
      <c r="B40" s="5">
        <v>2</v>
      </c>
      <c r="C40" s="5">
        <v>15</v>
      </c>
      <c r="D40" s="5">
        <v>13</v>
      </c>
      <c r="E40" s="5">
        <v>10</v>
      </c>
      <c r="F40" s="5">
        <v>11</v>
      </c>
      <c r="G40" s="5">
        <v>8</v>
      </c>
      <c r="H40" s="5">
        <v>2</v>
      </c>
      <c r="I40" s="6"/>
      <c r="J40" s="6"/>
    </row>
    <row r="41" spans="1:10">
      <c r="A41" t="s">
        <v>4</v>
      </c>
      <c r="B41" s="5">
        <v>2</v>
      </c>
      <c r="C41" s="5">
        <v>15</v>
      </c>
      <c r="D41" s="5">
        <v>13</v>
      </c>
      <c r="E41" s="5">
        <v>10</v>
      </c>
      <c r="F41" s="5">
        <v>11</v>
      </c>
      <c r="G41" s="5">
        <v>8</v>
      </c>
      <c r="H41" s="5">
        <v>2</v>
      </c>
      <c r="I41" s="6"/>
      <c r="J41" s="6"/>
    </row>
    <row r="42" spans="1:10">
      <c r="A42" t="s">
        <v>5</v>
      </c>
      <c r="B42" s="5">
        <v>2</v>
      </c>
      <c r="C42" s="5">
        <v>13</v>
      </c>
      <c r="D42" s="5">
        <v>14</v>
      </c>
      <c r="E42" s="5">
        <v>13</v>
      </c>
      <c r="F42" s="5">
        <v>12</v>
      </c>
      <c r="G42" s="5">
        <v>8</v>
      </c>
      <c r="H42" s="5">
        <v>2</v>
      </c>
      <c r="I42" s="6"/>
      <c r="J42" s="6"/>
    </row>
    <row r="43" spans="1:10">
      <c r="A43" t="s">
        <v>6</v>
      </c>
      <c r="B43" s="5">
        <v>2</v>
      </c>
      <c r="C43" s="5">
        <v>13</v>
      </c>
      <c r="D43" s="5">
        <v>14</v>
      </c>
      <c r="E43" s="5">
        <v>13</v>
      </c>
      <c r="F43" s="5">
        <v>12</v>
      </c>
      <c r="G43" s="5">
        <v>8</v>
      </c>
      <c r="H43" s="5">
        <v>2</v>
      </c>
      <c r="I43" s="6"/>
      <c r="J43" s="6"/>
    </row>
    <row r="44" spans="1:10">
      <c r="A44" t="s">
        <v>7</v>
      </c>
      <c r="B44" s="5">
        <v>3</v>
      </c>
      <c r="C44" s="5">
        <v>13</v>
      </c>
      <c r="D44" s="5">
        <v>11</v>
      </c>
      <c r="E44" s="5">
        <v>13</v>
      </c>
      <c r="F44" s="5">
        <v>11</v>
      </c>
      <c r="G44" s="5">
        <v>10</v>
      </c>
      <c r="H44" s="5">
        <v>2</v>
      </c>
      <c r="I44" s="6"/>
      <c r="J44" s="6"/>
    </row>
    <row r="45" spans="1:10">
      <c r="A45" t="s">
        <v>8</v>
      </c>
      <c r="B45" s="5">
        <v>3</v>
      </c>
      <c r="C45" s="5">
        <v>13</v>
      </c>
      <c r="D45" s="5">
        <v>11</v>
      </c>
      <c r="E45" s="5">
        <v>13</v>
      </c>
      <c r="F45" s="5">
        <v>11</v>
      </c>
      <c r="G45" s="5">
        <v>10</v>
      </c>
      <c r="H45" s="5">
        <v>2</v>
      </c>
      <c r="I45" s="6"/>
      <c r="J45" s="6"/>
    </row>
    <row r="46" spans="1:10">
      <c r="A46" t="s">
        <v>9</v>
      </c>
      <c r="B46" s="5">
        <v>2</v>
      </c>
      <c r="C46" s="5">
        <v>12</v>
      </c>
      <c r="D46" s="5">
        <v>13</v>
      </c>
      <c r="E46" s="5">
        <v>12</v>
      </c>
      <c r="F46" s="5">
        <v>13</v>
      </c>
      <c r="G46" s="5">
        <v>8</v>
      </c>
      <c r="H46" s="5">
        <v>2</v>
      </c>
      <c r="I46" s="6"/>
      <c r="J46" s="6"/>
    </row>
    <row r="47" spans="1:10">
      <c r="A47" t="s">
        <v>10</v>
      </c>
      <c r="B47" s="5">
        <v>2</v>
      </c>
      <c r="C47" s="5">
        <v>12</v>
      </c>
      <c r="D47" s="5">
        <v>13</v>
      </c>
      <c r="E47" s="5">
        <v>12</v>
      </c>
      <c r="F47" s="5">
        <v>13</v>
      </c>
      <c r="G47" s="5">
        <v>8</v>
      </c>
      <c r="H47" s="5">
        <v>2</v>
      </c>
      <c r="I47" s="6"/>
      <c r="J47" s="6"/>
    </row>
    <row r="48" spans="1:10">
      <c r="A48" t="s">
        <v>11</v>
      </c>
      <c r="B48" s="5">
        <v>2</v>
      </c>
      <c r="C48" s="5">
        <v>11</v>
      </c>
      <c r="D48" s="5">
        <v>12</v>
      </c>
      <c r="E48" s="5">
        <v>11</v>
      </c>
      <c r="F48" s="5">
        <v>11</v>
      </c>
      <c r="G48" s="5">
        <v>9</v>
      </c>
      <c r="H48" s="5">
        <v>2</v>
      </c>
      <c r="I48" s="6"/>
      <c r="J48" s="6"/>
    </row>
    <row r="49" spans="1:10">
      <c r="A49" t="s">
        <v>12</v>
      </c>
      <c r="B49" s="5">
        <v>2</v>
      </c>
      <c r="C49" s="5">
        <v>11</v>
      </c>
      <c r="D49" s="5">
        <v>12</v>
      </c>
      <c r="E49" s="5">
        <v>11</v>
      </c>
      <c r="F49" s="5">
        <v>11</v>
      </c>
      <c r="G49" s="5">
        <v>9</v>
      </c>
      <c r="H49" s="5">
        <v>2</v>
      </c>
      <c r="I49" s="6"/>
      <c r="J49" s="6"/>
    </row>
    <row r="50" spans="1:10">
      <c r="A50" t="s">
        <v>13</v>
      </c>
      <c r="B50" s="5">
        <v>2</v>
      </c>
      <c r="C50" s="5">
        <v>9</v>
      </c>
      <c r="D50" s="5">
        <v>10</v>
      </c>
      <c r="E50" s="5">
        <v>9</v>
      </c>
      <c r="F50" s="5">
        <v>9</v>
      </c>
      <c r="G50" s="5">
        <v>7</v>
      </c>
      <c r="H50" s="5">
        <v>2</v>
      </c>
    </row>
    <row r="51" spans="1:10">
      <c r="A51" t="s">
        <v>14</v>
      </c>
      <c r="B51" s="5">
        <v>2</v>
      </c>
      <c r="C51" s="5">
        <v>9</v>
      </c>
      <c r="D51" s="5">
        <v>10</v>
      </c>
      <c r="E51" s="5">
        <v>9</v>
      </c>
      <c r="F51" s="5">
        <v>9</v>
      </c>
      <c r="G51" s="5">
        <v>7</v>
      </c>
      <c r="H51" s="5">
        <v>2</v>
      </c>
    </row>
    <row r="52" spans="1:10">
      <c r="A52" t="s">
        <v>15</v>
      </c>
      <c r="B52" s="5">
        <v>3</v>
      </c>
      <c r="C52" s="5">
        <v>5</v>
      </c>
      <c r="D52" s="5">
        <v>5</v>
      </c>
      <c r="E52" s="5">
        <v>5</v>
      </c>
      <c r="F52" s="5">
        <v>5</v>
      </c>
      <c r="G52" s="5">
        <v>4</v>
      </c>
      <c r="H52" s="5">
        <v>2</v>
      </c>
    </row>
    <row r="53" spans="1:10">
      <c r="A53" t="s">
        <v>16</v>
      </c>
      <c r="B53" s="5">
        <v>3</v>
      </c>
      <c r="C53" s="5">
        <v>5</v>
      </c>
      <c r="D53" s="5">
        <v>5</v>
      </c>
      <c r="E53" s="5">
        <v>5</v>
      </c>
      <c r="F53" s="5">
        <v>5</v>
      </c>
      <c r="G53" s="5">
        <v>4</v>
      </c>
      <c r="H53" s="5">
        <v>2</v>
      </c>
    </row>
    <row r="54" spans="1:10">
      <c r="A54" t="s">
        <v>17</v>
      </c>
      <c r="B54" s="5">
        <v>2</v>
      </c>
      <c r="C54" s="5">
        <v>5</v>
      </c>
      <c r="D54" s="5">
        <v>4</v>
      </c>
      <c r="E54" s="5">
        <v>3</v>
      </c>
      <c r="F54" s="5">
        <v>4</v>
      </c>
      <c r="G54" s="5">
        <v>2</v>
      </c>
      <c r="H54" s="5">
        <v>2</v>
      </c>
    </row>
    <row r="55" spans="1:10">
      <c r="A55" t="s">
        <v>18</v>
      </c>
      <c r="B55" s="5">
        <v>2</v>
      </c>
      <c r="C55" s="5">
        <v>5</v>
      </c>
      <c r="D55" s="5">
        <v>4</v>
      </c>
      <c r="E55" s="5">
        <v>3</v>
      </c>
      <c r="F55" s="5">
        <v>4</v>
      </c>
      <c r="G55" s="5">
        <v>2</v>
      </c>
      <c r="H55" s="5">
        <v>2</v>
      </c>
    </row>
    <row r="56" spans="1:10">
      <c r="A56" t="s">
        <v>19</v>
      </c>
      <c r="B56" s="5">
        <v>2</v>
      </c>
      <c r="C56" s="5">
        <v>4</v>
      </c>
      <c r="D56" s="5">
        <v>3</v>
      </c>
      <c r="E56" s="5">
        <v>4</v>
      </c>
      <c r="F56" s="5">
        <v>3</v>
      </c>
      <c r="G56" s="5">
        <v>3</v>
      </c>
      <c r="H56" s="5">
        <v>2</v>
      </c>
    </row>
    <row r="57" spans="1:10">
      <c r="A57" t="s">
        <v>20</v>
      </c>
      <c r="B57" s="5">
        <v>2</v>
      </c>
      <c r="C57" s="5">
        <v>4</v>
      </c>
      <c r="D57" s="5">
        <v>3</v>
      </c>
      <c r="E57" s="5">
        <v>4</v>
      </c>
      <c r="F57" s="5">
        <v>3</v>
      </c>
      <c r="G57" s="5">
        <v>3</v>
      </c>
      <c r="H57" s="5">
        <v>2</v>
      </c>
    </row>
    <row r="58" spans="1:10">
      <c r="A58" t="s">
        <v>21</v>
      </c>
      <c r="B58" s="5">
        <v>2</v>
      </c>
      <c r="C58" s="5">
        <v>4</v>
      </c>
      <c r="D58" s="5">
        <v>4</v>
      </c>
      <c r="E58" s="5">
        <v>4</v>
      </c>
      <c r="F58" s="5">
        <v>4</v>
      </c>
      <c r="G58" s="5">
        <v>2</v>
      </c>
      <c r="H58" s="5">
        <v>2</v>
      </c>
    </row>
    <row r="59" spans="1:10">
      <c r="A59" t="s">
        <v>22</v>
      </c>
      <c r="B59" s="5">
        <v>2</v>
      </c>
      <c r="C59" s="5">
        <v>4</v>
      </c>
      <c r="D59" s="5">
        <v>4</v>
      </c>
      <c r="E59" s="5">
        <v>4</v>
      </c>
      <c r="F59" s="5">
        <v>4</v>
      </c>
      <c r="G59" s="5">
        <v>2</v>
      </c>
      <c r="H59" s="5">
        <v>2</v>
      </c>
    </row>
    <row r="60" spans="1:10">
      <c r="A60" t="s">
        <v>23</v>
      </c>
      <c r="B60" s="5">
        <v>2</v>
      </c>
      <c r="C60" s="5">
        <v>7</v>
      </c>
      <c r="D60" s="5">
        <v>6</v>
      </c>
      <c r="E60" s="5">
        <v>6</v>
      </c>
      <c r="F60" s="5">
        <v>6</v>
      </c>
      <c r="G60" s="5">
        <v>3</v>
      </c>
      <c r="H60" s="5">
        <v>2</v>
      </c>
    </row>
    <row r="61" spans="1:10">
      <c r="A61" t="s">
        <v>24</v>
      </c>
      <c r="B61" s="5">
        <v>2</v>
      </c>
      <c r="C61" s="5">
        <v>7</v>
      </c>
      <c r="D61" s="5">
        <v>6</v>
      </c>
      <c r="E61" s="5">
        <v>6</v>
      </c>
      <c r="F61" s="5">
        <v>6</v>
      </c>
      <c r="G61" s="5">
        <v>3</v>
      </c>
      <c r="H61" s="5">
        <v>2</v>
      </c>
    </row>
    <row r="62" spans="1:10">
      <c r="A62" t="s">
        <v>25</v>
      </c>
      <c r="B62" s="5">
        <v>2</v>
      </c>
      <c r="C62" s="5">
        <v>8</v>
      </c>
      <c r="D62" s="5">
        <v>8</v>
      </c>
      <c r="E62" s="5">
        <v>8</v>
      </c>
      <c r="F62" s="5">
        <v>5</v>
      </c>
      <c r="G62" s="5">
        <v>4</v>
      </c>
      <c r="H62" s="5">
        <v>2</v>
      </c>
    </row>
    <row r="63" spans="1:10">
      <c r="A63" t="s">
        <v>26</v>
      </c>
      <c r="B63" s="5">
        <v>2</v>
      </c>
      <c r="C63" s="5">
        <v>8</v>
      </c>
      <c r="D63" s="5">
        <v>8</v>
      </c>
      <c r="E63" s="5">
        <v>8</v>
      </c>
      <c r="F63" s="5">
        <v>5</v>
      </c>
      <c r="G63" s="5">
        <v>4</v>
      </c>
      <c r="H63" s="5">
        <v>2</v>
      </c>
    </row>
    <row r="64" spans="1:10">
      <c r="A64" t="s">
        <v>27</v>
      </c>
      <c r="B64" s="5">
        <v>2</v>
      </c>
      <c r="C64" s="5">
        <v>10</v>
      </c>
      <c r="D64" s="5">
        <v>10</v>
      </c>
      <c r="E64" s="5">
        <v>8</v>
      </c>
      <c r="F64" s="5">
        <v>9</v>
      </c>
      <c r="G64" s="5">
        <v>5</v>
      </c>
      <c r="H64" s="5">
        <v>2</v>
      </c>
    </row>
    <row r="65" spans="1:8">
      <c r="A65" t="s">
        <v>28</v>
      </c>
      <c r="B65" s="5">
        <v>2</v>
      </c>
      <c r="C65" s="5">
        <v>10</v>
      </c>
      <c r="D65" s="5">
        <v>10</v>
      </c>
      <c r="E65" s="5">
        <v>8</v>
      </c>
      <c r="F65" s="5">
        <v>9</v>
      </c>
      <c r="G65" s="5">
        <v>5</v>
      </c>
      <c r="H65" s="5">
        <v>2</v>
      </c>
    </row>
    <row r="66" spans="1:8">
      <c r="A66" t="s">
        <v>29</v>
      </c>
      <c r="B66" s="5">
        <v>2</v>
      </c>
      <c r="C66" s="5">
        <v>12</v>
      </c>
      <c r="D66" s="5">
        <v>11</v>
      </c>
      <c r="E66" s="5">
        <v>9</v>
      </c>
      <c r="F66" s="5">
        <v>10</v>
      </c>
      <c r="G66" s="5">
        <v>6</v>
      </c>
      <c r="H66" s="5">
        <v>2</v>
      </c>
    </row>
    <row r="67" spans="1:8">
      <c r="A67" t="s">
        <v>30</v>
      </c>
      <c r="B67" s="5">
        <v>2</v>
      </c>
      <c r="C67" s="5">
        <v>12</v>
      </c>
      <c r="D67" s="5">
        <v>11</v>
      </c>
      <c r="E67" s="5">
        <v>9</v>
      </c>
      <c r="F67" s="5">
        <v>10</v>
      </c>
      <c r="G67" s="5">
        <v>6</v>
      </c>
      <c r="H67" s="5">
        <v>2</v>
      </c>
    </row>
    <row r="68" spans="1:8">
      <c r="A68" t="s">
        <v>31</v>
      </c>
      <c r="B68" s="5">
        <v>3</v>
      </c>
      <c r="C68" s="5">
        <v>12</v>
      </c>
      <c r="D68" s="5">
        <v>12</v>
      </c>
      <c r="E68" s="5">
        <v>11</v>
      </c>
      <c r="F68" s="5">
        <v>11</v>
      </c>
      <c r="G68" s="5">
        <v>8</v>
      </c>
      <c r="H68" s="5">
        <v>2</v>
      </c>
    </row>
    <row r="69" spans="1:8">
      <c r="A69" t="s">
        <v>32</v>
      </c>
      <c r="B69" s="5">
        <v>3</v>
      </c>
      <c r="C69" s="5">
        <v>12</v>
      </c>
      <c r="D69" s="5">
        <v>12</v>
      </c>
      <c r="E69" s="5">
        <v>11</v>
      </c>
      <c r="F69" s="5">
        <v>11</v>
      </c>
      <c r="G69" s="5">
        <v>8</v>
      </c>
      <c r="H69" s="5">
        <v>2</v>
      </c>
    </row>
    <row r="70" spans="1:8">
      <c r="A70" t="s">
        <v>33</v>
      </c>
      <c r="B70" s="5">
        <v>3</v>
      </c>
      <c r="C70" s="5">
        <v>12</v>
      </c>
      <c r="D70" s="5">
        <v>11</v>
      </c>
      <c r="E70" s="5">
        <v>10</v>
      </c>
      <c r="F70" s="5">
        <v>11</v>
      </c>
      <c r="G70" s="5">
        <v>5</v>
      </c>
      <c r="H70" s="5">
        <v>2</v>
      </c>
    </row>
    <row r="71" spans="1:8">
      <c r="A71" t="s">
        <v>34</v>
      </c>
      <c r="B71" s="5">
        <v>3</v>
      </c>
      <c r="C71" s="5">
        <v>12</v>
      </c>
      <c r="D71" s="5">
        <v>11</v>
      </c>
      <c r="E71" s="5">
        <v>10</v>
      </c>
      <c r="F71" s="5">
        <v>11</v>
      </c>
      <c r="G71" s="5">
        <v>5</v>
      </c>
      <c r="H71" s="5">
        <v>2</v>
      </c>
    </row>
    <row r="72" spans="1:8">
      <c r="A72" t="s">
        <v>35</v>
      </c>
      <c r="B72" s="5">
        <v>2</v>
      </c>
      <c r="C72" s="5">
        <v>12</v>
      </c>
      <c r="D72" s="5">
        <v>10</v>
      </c>
      <c r="E72" s="5">
        <v>10</v>
      </c>
      <c r="F72" s="5">
        <v>9</v>
      </c>
      <c r="G72" s="5">
        <v>5</v>
      </c>
      <c r="H72" s="5">
        <v>2</v>
      </c>
    </row>
    <row r="73" spans="1:8">
      <c r="A73" t="s">
        <v>36</v>
      </c>
      <c r="B73" s="5">
        <v>2</v>
      </c>
      <c r="C73" s="5">
        <v>12</v>
      </c>
      <c r="D73" s="5">
        <v>10</v>
      </c>
      <c r="E73" s="5">
        <v>10</v>
      </c>
      <c r="F73" s="5">
        <v>9</v>
      </c>
      <c r="G73" s="5">
        <v>5</v>
      </c>
      <c r="H73" s="5">
        <v>2</v>
      </c>
    </row>
    <row r="74" spans="1:8">
      <c r="A74" t="s">
        <v>37</v>
      </c>
      <c r="B74" s="5">
        <v>3</v>
      </c>
      <c r="C74" s="5">
        <v>8</v>
      </c>
      <c r="D74" s="5">
        <v>9</v>
      </c>
      <c r="E74" s="5">
        <v>8</v>
      </c>
      <c r="F74" s="5">
        <v>8</v>
      </c>
      <c r="G74" s="5">
        <v>4</v>
      </c>
      <c r="H74" s="5">
        <v>2</v>
      </c>
    </row>
    <row r="75" spans="1:8">
      <c r="A75" t="s">
        <v>38</v>
      </c>
      <c r="B75" s="5">
        <v>3</v>
      </c>
      <c r="C75" s="5">
        <v>8</v>
      </c>
      <c r="D75" s="5">
        <v>9</v>
      </c>
      <c r="E75" s="5">
        <v>8</v>
      </c>
      <c r="F75" s="5">
        <v>8</v>
      </c>
      <c r="G75" s="5">
        <v>4</v>
      </c>
      <c r="H75" s="5">
        <v>2</v>
      </c>
    </row>
    <row r="76" spans="1:8">
      <c r="A76" t="s">
        <v>39</v>
      </c>
      <c r="B76" s="5">
        <v>2</v>
      </c>
      <c r="C76" s="5">
        <v>6</v>
      </c>
      <c r="D76" s="5">
        <v>5</v>
      </c>
      <c r="E76" s="5">
        <v>6</v>
      </c>
      <c r="F76" s="5">
        <v>6</v>
      </c>
      <c r="G76" s="5">
        <v>3</v>
      </c>
      <c r="H76" s="5">
        <v>2</v>
      </c>
    </row>
    <row r="77" spans="1:8">
      <c r="A77" t="s">
        <v>40</v>
      </c>
      <c r="B77" s="5">
        <v>2</v>
      </c>
      <c r="C77" s="5">
        <v>6</v>
      </c>
      <c r="D77" s="5">
        <v>5</v>
      </c>
      <c r="E77" s="5">
        <v>6</v>
      </c>
      <c r="F77" s="5">
        <v>6</v>
      </c>
      <c r="G77" s="5">
        <v>3</v>
      </c>
      <c r="H77" s="5">
        <v>2</v>
      </c>
    </row>
    <row r="78" spans="1:8">
      <c r="A78" t="s">
        <v>41</v>
      </c>
      <c r="B78" s="5">
        <v>2</v>
      </c>
      <c r="C78" s="5">
        <v>4</v>
      </c>
      <c r="D78" s="5">
        <v>3</v>
      </c>
      <c r="E78" s="5">
        <v>3</v>
      </c>
      <c r="F78" s="5">
        <v>4</v>
      </c>
      <c r="G78" s="5">
        <v>3</v>
      </c>
      <c r="H78" s="5">
        <v>2</v>
      </c>
    </row>
    <row r="79" spans="1:8">
      <c r="A79" t="s">
        <v>42</v>
      </c>
      <c r="B79" s="5">
        <v>2</v>
      </c>
      <c r="C79" s="5">
        <v>4</v>
      </c>
      <c r="D79" s="5">
        <v>3</v>
      </c>
      <c r="E79" s="5">
        <v>3</v>
      </c>
      <c r="F79" s="5">
        <v>4</v>
      </c>
      <c r="G79" s="5">
        <v>3</v>
      </c>
      <c r="H79" s="5">
        <v>2</v>
      </c>
    </row>
    <row r="80" spans="1:8">
      <c r="A80" t="s">
        <v>43</v>
      </c>
      <c r="B80" s="5">
        <v>2</v>
      </c>
      <c r="C80" s="5">
        <v>3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</row>
    <row r="81" spans="1:8">
      <c r="A81" t="s">
        <v>44</v>
      </c>
      <c r="B81" s="5">
        <v>2</v>
      </c>
      <c r="C81" s="5">
        <v>3</v>
      </c>
      <c r="D81" s="5">
        <v>2</v>
      </c>
      <c r="E81" s="5">
        <v>2</v>
      </c>
      <c r="F81" s="5">
        <v>2</v>
      </c>
      <c r="G81" s="5">
        <v>2</v>
      </c>
      <c r="H81" s="5">
        <v>2</v>
      </c>
    </row>
    <row r="82" spans="1:8">
      <c r="A82" t="s">
        <v>45</v>
      </c>
      <c r="B82" s="5">
        <v>2</v>
      </c>
      <c r="C82" s="5">
        <v>2</v>
      </c>
      <c r="D82" s="5">
        <v>2</v>
      </c>
      <c r="E82" s="5">
        <v>2</v>
      </c>
      <c r="F82" s="5">
        <v>2</v>
      </c>
      <c r="G82" s="5">
        <v>2</v>
      </c>
      <c r="H82" s="5">
        <v>2</v>
      </c>
    </row>
    <row r="83" spans="1:8">
      <c r="A83" t="s">
        <v>46</v>
      </c>
      <c r="B83" s="5">
        <v>2</v>
      </c>
      <c r="C83" s="5">
        <v>2</v>
      </c>
      <c r="D83" s="5">
        <v>2</v>
      </c>
      <c r="E83" s="5">
        <v>2</v>
      </c>
      <c r="F83" s="5">
        <v>2</v>
      </c>
      <c r="G83" s="5">
        <v>2</v>
      </c>
      <c r="H83" s="5">
        <v>2</v>
      </c>
    </row>
    <row r="84" spans="1:8">
      <c r="A84" t="s">
        <v>47</v>
      </c>
      <c r="B84" s="5">
        <v>2</v>
      </c>
      <c r="C84" s="5">
        <v>2</v>
      </c>
      <c r="D84" s="5">
        <v>2</v>
      </c>
      <c r="E84" s="5">
        <v>2</v>
      </c>
      <c r="F84" s="5">
        <v>2</v>
      </c>
      <c r="G84" s="5">
        <v>2</v>
      </c>
      <c r="H84" s="5">
        <v>2</v>
      </c>
    </row>
    <row r="85" spans="1:8">
      <c r="A85" t="s">
        <v>389</v>
      </c>
      <c r="B85" s="5">
        <v>0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1:8">
      <c r="A86" t="s">
        <v>390</v>
      </c>
      <c r="B86" s="5">
        <v>0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1:8">
      <c r="A87" t="s">
        <v>391</v>
      </c>
      <c r="B87" s="5">
        <v>0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1:8">
      <c r="A88" t="s">
        <v>392</v>
      </c>
      <c r="B88" s="5">
        <v>0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1:8">
      <c r="A89" t="s">
        <v>393</v>
      </c>
      <c r="B89" s="5">
        <v>0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1:8">
      <c r="A90" t="s">
        <v>394</v>
      </c>
      <c r="B90" s="5">
        <v>0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1:8">
      <c r="A91" t="s">
        <v>395</v>
      </c>
      <c r="B91" s="5">
        <v>0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1:8">
      <c r="A92" t="s">
        <v>396</v>
      </c>
      <c r="B92" s="5">
        <v>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1:8">
      <c r="A93" t="s">
        <v>397</v>
      </c>
      <c r="B93" s="5">
        <v>0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1:8">
      <c r="A94" t="s">
        <v>398</v>
      </c>
      <c r="B94" s="5">
        <v>0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1:8">
      <c r="A95" t="s">
        <v>399</v>
      </c>
      <c r="B95" s="5">
        <v>0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1:8">
      <c r="A96" t="s">
        <v>400</v>
      </c>
      <c r="B96" s="5">
        <v>0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WFMfixturnigpt5sceltariposi">
                <anchor moveWithCells="1" sizeWithCells="1">
                  <from>
                    <xdr:col>9</xdr:col>
                    <xdr:colOff>257175</xdr:colOff>
                    <xdr:row>8</xdr:row>
                    <xdr:rowOff>104775</xdr:rowOff>
                  </from>
                  <to>
                    <xdr:col>12</xdr:col>
                    <xdr:colOff>561975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RunWFMfixturnigpt5fasce">
                <anchor moveWithCells="1" sizeWithCells="1">
                  <from>
                    <xdr:col>11</xdr:col>
                    <xdr:colOff>285750</xdr:colOff>
                    <xdr:row>1</xdr:row>
                    <xdr:rowOff>0</xdr:rowOff>
                  </from>
                  <to>
                    <xdr:col>14</xdr:col>
                    <xdr:colOff>200025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H105"/>
  <sheetViews>
    <sheetView tabSelected="1" zoomScaleNormal="100" workbookViewId="0">
      <selection activeCell="I4" sqref="I4"/>
    </sheetView>
  </sheetViews>
  <sheetFormatPr defaultRowHeight="15"/>
  <cols>
    <col min="6" max="6" width="14.140625" customWidth="1"/>
  </cols>
  <sheetData>
    <row r="1" spans="1:8">
      <c r="A1" t="s">
        <v>50</v>
      </c>
      <c r="B1" s="1" t="s">
        <v>226</v>
      </c>
      <c r="C1" s="1" t="s">
        <v>227</v>
      </c>
      <c r="D1" s="30" t="s">
        <v>508</v>
      </c>
      <c r="E1" s="30" t="s">
        <v>509</v>
      </c>
      <c r="F1" t="s">
        <v>49</v>
      </c>
    </row>
    <row r="2" spans="1:8">
      <c r="A2" t="s">
        <v>51</v>
      </c>
      <c r="B2" s="29" t="s">
        <v>159</v>
      </c>
      <c r="C2" s="29" t="s">
        <v>160</v>
      </c>
      <c r="D2" s="31"/>
      <c r="E2" s="31"/>
      <c r="F2" s="3">
        <v>4</v>
      </c>
    </row>
    <row r="3" spans="1:8">
      <c r="A3" t="s">
        <v>52</v>
      </c>
      <c r="B3" s="29" t="s">
        <v>159</v>
      </c>
      <c r="C3" s="29" t="s">
        <v>161</v>
      </c>
      <c r="D3" s="31"/>
      <c r="E3" s="31"/>
      <c r="F3" s="3">
        <v>6</v>
      </c>
    </row>
    <row r="4" spans="1:8">
      <c r="A4" t="s">
        <v>53</v>
      </c>
      <c r="B4" s="29" t="s">
        <v>159</v>
      </c>
      <c r="C4" s="29">
        <v>0.52083333333333337</v>
      </c>
      <c r="D4" s="31">
        <v>0.5625</v>
      </c>
      <c r="E4" s="31">
        <v>0.72916666666666663</v>
      </c>
      <c r="F4" s="3">
        <v>8</v>
      </c>
      <c r="H4" s="2"/>
    </row>
    <row r="5" spans="1:8">
      <c r="A5" t="s">
        <v>54</v>
      </c>
      <c r="B5" s="29" t="s">
        <v>163</v>
      </c>
      <c r="C5" s="29" t="s">
        <v>164</v>
      </c>
      <c r="D5" s="31"/>
      <c r="E5" s="31"/>
      <c r="F5" s="3">
        <v>4</v>
      </c>
    </row>
    <row r="6" spans="1:8">
      <c r="A6" t="s">
        <v>55</v>
      </c>
      <c r="B6" s="29" t="s">
        <v>163</v>
      </c>
      <c r="C6" s="29" t="s">
        <v>165</v>
      </c>
      <c r="D6" s="31"/>
      <c r="E6" s="31"/>
      <c r="F6" s="3">
        <v>6</v>
      </c>
    </row>
    <row r="7" spans="1:8">
      <c r="A7" t="s">
        <v>56</v>
      </c>
      <c r="B7" s="29" t="s">
        <v>158</v>
      </c>
      <c r="C7" s="29" t="s">
        <v>166</v>
      </c>
      <c r="D7" s="31"/>
      <c r="E7" s="31"/>
      <c r="F7" s="3">
        <v>4</v>
      </c>
    </row>
    <row r="8" spans="1:8">
      <c r="A8" t="s">
        <v>57</v>
      </c>
      <c r="B8" s="29" t="s">
        <v>158</v>
      </c>
      <c r="C8" s="29" t="s">
        <v>167</v>
      </c>
      <c r="D8" s="31"/>
      <c r="E8" s="31"/>
      <c r="F8" s="3">
        <v>6</v>
      </c>
    </row>
    <row r="9" spans="1:8">
      <c r="A9" t="s">
        <v>58</v>
      </c>
      <c r="B9" s="29" t="s">
        <v>158</v>
      </c>
      <c r="C9" s="29">
        <v>0.54166666666666663</v>
      </c>
      <c r="D9" s="31">
        <v>0.58333333333333337</v>
      </c>
      <c r="E9" s="31">
        <v>0.75</v>
      </c>
      <c r="F9" s="3">
        <v>8</v>
      </c>
      <c r="H9" s="2"/>
    </row>
    <row r="10" spans="1:8">
      <c r="A10" t="s">
        <v>59</v>
      </c>
      <c r="B10" s="29" t="s">
        <v>169</v>
      </c>
      <c r="C10" s="29" t="s">
        <v>170</v>
      </c>
      <c r="D10" s="31"/>
      <c r="E10" s="31"/>
      <c r="F10" s="3">
        <v>4</v>
      </c>
    </row>
    <row r="11" spans="1:8">
      <c r="A11" t="s">
        <v>60</v>
      </c>
      <c r="B11" s="29" t="s">
        <v>169</v>
      </c>
      <c r="C11" s="29" t="s">
        <v>171</v>
      </c>
      <c r="D11" s="31"/>
      <c r="E11" s="31"/>
      <c r="F11" s="3">
        <v>6</v>
      </c>
    </row>
    <row r="12" spans="1:8">
      <c r="A12" t="s">
        <v>61</v>
      </c>
      <c r="B12" s="29" t="s">
        <v>172</v>
      </c>
      <c r="C12" s="29" t="s">
        <v>173</v>
      </c>
      <c r="D12" s="31"/>
      <c r="E12" s="31"/>
      <c r="F12" s="3">
        <v>4</v>
      </c>
    </row>
    <row r="13" spans="1:8">
      <c r="A13" t="s">
        <v>62</v>
      </c>
      <c r="B13" s="29" t="s">
        <v>172</v>
      </c>
      <c r="C13" s="29" t="s">
        <v>174</v>
      </c>
      <c r="D13" s="31"/>
      <c r="E13" s="31"/>
      <c r="F13" s="3">
        <v>6</v>
      </c>
    </row>
    <row r="14" spans="1:8">
      <c r="A14" t="s">
        <v>63</v>
      </c>
      <c r="B14" s="29" t="s">
        <v>172</v>
      </c>
      <c r="C14" s="29">
        <v>0.5625</v>
      </c>
      <c r="D14" s="31">
        <v>0.60416666666666663</v>
      </c>
      <c r="E14" s="31">
        <v>0.77083333333333337</v>
      </c>
      <c r="F14" s="3">
        <v>8</v>
      </c>
      <c r="H14" s="2"/>
    </row>
    <row r="15" spans="1:8">
      <c r="A15" t="s">
        <v>64</v>
      </c>
      <c r="B15" s="29" t="s">
        <v>176</v>
      </c>
      <c r="C15" s="29" t="s">
        <v>177</v>
      </c>
      <c r="D15" s="31"/>
      <c r="E15" s="31"/>
      <c r="F15" s="3">
        <v>4</v>
      </c>
    </row>
    <row r="16" spans="1:8">
      <c r="A16" t="s">
        <v>65</v>
      </c>
      <c r="B16" s="29" t="s">
        <v>176</v>
      </c>
      <c r="C16" s="29" t="s">
        <v>178</v>
      </c>
      <c r="D16" s="31"/>
      <c r="E16" s="31"/>
      <c r="F16" s="3">
        <v>6</v>
      </c>
    </row>
    <row r="17" spans="1:8">
      <c r="A17" t="s">
        <v>66</v>
      </c>
      <c r="B17" s="29" t="s">
        <v>179</v>
      </c>
      <c r="C17" s="29" t="s">
        <v>180</v>
      </c>
      <c r="D17" s="31"/>
      <c r="E17" s="31"/>
      <c r="F17" s="3">
        <v>4</v>
      </c>
    </row>
    <row r="18" spans="1:8">
      <c r="A18" t="s">
        <v>67</v>
      </c>
      <c r="B18" s="29" t="s">
        <v>179</v>
      </c>
      <c r="C18" s="29" t="s">
        <v>181</v>
      </c>
      <c r="D18" s="31"/>
      <c r="E18" s="31"/>
      <c r="F18" s="3">
        <v>6</v>
      </c>
    </row>
    <row r="19" spans="1:8">
      <c r="A19" t="s">
        <v>68</v>
      </c>
      <c r="B19" s="29" t="s">
        <v>179</v>
      </c>
      <c r="C19" s="29">
        <v>0.58333333333333337</v>
      </c>
      <c r="D19" s="31">
        <v>0.625</v>
      </c>
      <c r="E19" s="31">
        <v>0.79166666666666663</v>
      </c>
      <c r="F19" s="3">
        <v>8</v>
      </c>
      <c r="H19" s="2"/>
    </row>
    <row r="20" spans="1:8">
      <c r="A20" t="s">
        <v>69</v>
      </c>
      <c r="B20" s="29" t="s">
        <v>183</v>
      </c>
      <c r="C20" s="29" t="s">
        <v>184</v>
      </c>
      <c r="D20" s="31"/>
      <c r="E20" s="31"/>
      <c r="F20" s="3">
        <v>4</v>
      </c>
    </row>
    <row r="21" spans="1:8">
      <c r="A21" t="s">
        <v>70</v>
      </c>
      <c r="B21" s="29" t="s">
        <v>183</v>
      </c>
      <c r="C21" s="29" t="s">
        <v>185</v>
      </c>
      <c r="D21" s="31"/>
      <c r="E21" s="31"/>
      <c r="F21" s="3">
        <v>6</v>
      </c>
    </row>
    <row r="22" spans="1:8">
      <c r="A22" t="s">
        <v>71</v>
      </c>
      <c r="B22" s="29" t="s">
        <v>186</v>
      </c>
      <c r="C22" s="29" t="s">
        <v>161</v>
      </c>
      <c r="D22" s="31"/>
      <c r="E22" s="31"/>
      <c r="F22" s="3">
        <v>4</v>
      </c>
    </row>
    <row r="23" spans="1:8">
      <c r="A23" t="s">
        <v>72</v>
      </c>
      <c r="B23" s="29" t="s">
        <v>186</v>
      </c>
      <c r="C23" s="29" t="s">
        <v>162</v>
      </c>
      <c r="D23" s="31"/>
      <c r="E23" s="31"/>
      <c r="F23" s="3">
        <v>6</v>
      </c>
    </row>
    <row r="24" spans="1:8">
      <c r="A24" t="s">
        <v>73</v>
      </c>
      <c r="B24" s="29" t="s">
        <v>186</v>
      </c>
      <c r="C24" s="29">
        <v>0.60416666666666663</v>
      </c>
      <c r="D24" s="31">
        <v>0.64583333333333337</v>
      </c>
      <c r="E24" s="31">
        <v>0.8125</v>
      </c>
      <c r="F24" s="3">
        <v>8</v>
      </c>
      <c r="H24" s="2"/>
    </row>
    <row r="25" spans="1:8">
      <c r="A25" t="s">
        <v>74</v>
      </c>
      <c r="B25" s="29" t="s">
        <v>188</v>
      </c>
      <c r="C25" s="29" t="s">
        <v>165</v>
      </c>
      <c r="D25" s="31"/>
      <c r="E25" s="31"/>
      <c r="F25" s="3">
        <v>4</v>
      </c>
    </row>
    <row r="26" spans="1:8">
      <c r="A26" t="s">
        <v>75</v>
      </c>
      <c r="B26" s="29" t="s">
        <v>188</v>
      </c>
      <c r="C26" s="29" t="s">
        <v>189</v>
      </c>
      <c r="D26" s="31"/>
      <c r="E26" s="31"/>
      <c r="F26" s="3">
        <v>6</v>
      </c>
    </row>
    <row r="27" spans="1:8">
      <c r="A27" t="s">
        <v>76</v>
      </c>
      <c r="B27" s="29" t="s">
        <v>190</v>
      </c>
      <c r="C27" s="29" t="s">
        <v>167</v>
      </c>
      <c r="D27" s="31"/>
      <c r="E27" s="31"/>
      <c r="F27" s="3">
        <v>4</v>
      </c>
    </row>
    <row r="28" spans="1:8">
      <c r="A28" t="s">
        <v>77</v>
      </c>
      <c r="B28" s="29" t="s">
        <v>190</v>
      </c>
      <c r="C28" s="29" t="s">
        <v>168</v>
      </c>
      <c r="D28" s="31"/>
      <c r="E28" s="31"/>
      <c r="F28" s="3">
        <v>6</v>
      </c>
    </row>
    <row r="29" spans="1:8">
      <c r="A29" t="s">
        <v>78</v>
      </c>
      <c r="B29" s="29" t="s">
        <v>190</v>
      </c>
      <c r="C29" s="29">
        <v>0.625</v>
      </c>
      <c r="D29" s="31">
        <v>0.66666666666666663</v>
      </c>
      <c r="E29" s="31">
        <v>0.83333333333333337</v>
      </c>
      <c r="F29" s="3">
        <v>8</v>
      </c>
      <c r="H29" s="2"/>
    </row>
    <row r="30" spans="1:8">
      <c r="A30" t="s">
        <v>79</v>
      </c>
      <c r="B30" s="29" t="s">
        <v>192</v>
      </c>
      <c r="C30" s="29" t="s">
        <v>171</v>
      </c>
      <c r="D30" s="31"/>
      <c r="E30" s="31"/>
      <c r="F30" s="3">
        <v>4</v>
      </c>
    </row>
    <row r="31" spans="1:8">
      <c r="A31" t="s">
        <v>80</v>
      </c>
      <c r="B31" s="29" t="s">
        <v>192</v>
      </c>
      <c r="C31" s="29" t="s">
        <v>193</v>
      </c>
      <c r="D31" s="31"/>
      <c r="E31" s="31"/>
      <c r="F31" s="3">
        <v>6</v>
      </c>
    </row>
    <row r="32" spans="1:8">
      <c r="A32" t="s">
        <v>81</v>
      </c>
      <c r="B32" s="29" t="s">
        <v>194</v>
      </c>
      <c r="C32" s="29" t="s">
        <v>174</v>
      </c>
      <c r="D32" s="31"/>
      <c r="E32" s="31"/>
      <c r="F32" s="3">
        <v>4</v>
      </c>
    </row>
    <row r="33" spans="1:8">
      <c r="A33" t="s">
        <v>82</v>
      </c>
      <c r="B33" s="29" t="s">
        <v>194</v>
      </c>
      <c r="C33" s="29" t="s">
        <v>175</v>
      </c>
      <c r="D33" s="31"/>
      <c r="E33" s="31"/>
      <c r="F33" s="3">
        <v>6</v>
      </c>
    </row>
    <row r="34" spans="1:8">
      <c r="A34" t="s">
        <v>83</v>
      </c>
      <c r="B34" s="29" t="s">
        <v>194</v>
      </c>
      <c r="C34" s="29">
        <v>0.64583333333333337</v>
      </c>
      <c r="D34" s="31">
        <v>0.6875</v>
      </c>
      <c r="E34" s="31">
        <v>0.85416666666666663</v>
      </c>
      <c r="F34" s="3">
        <v>8</v>
      </c>
      <c r="H34" s="2"/>
    </row>
    <row r="35" spans="1:8">
      <c r="A35" t="s">
        <v>84</v>
      </c>
      <c r="B35" s="29" t="s">
        <v>196</v>
      </c>
      <c r="C35" s="29" t="s">
        <v>178</v>
      </c>
      <c r="D35" s="31"/>
      <c r="E35" s="31"/>
      <c r="F35" s="3">
        <v>4</v>
      </c>
    </row>
    <row r="36" spans="1:8">
      <c r="A36" t="s">
        <v>85</v>
      </c>
      <c r="B36" s="29" t="s">
        <v>196</v>
      </c>
      <c r="C36" s="29" t="s">
        <v>197</v>
      </c>
      <c r="D36" s="31"/>
      <c r="E36" s="31"/>
      <c r="F36" s="3">
        <v>6</v>
      </c>
    </row>
    <row r="37" spans="1:8">
      <c r="A37" t="s">
        <v>86</v>
      </c>
      <c r="B37" s="29" t="s">
        <v>198</v>
      </c>
      <c r="C37" s="29" t="s">
        <v>181</v>
      </c>
      <c r="D37" s="31"/>
      <c r="E37" s="31"/>
      <c r="F37" s="3">
        <v>4</v>
      </c>
    </row>
    <row r="38" spans="1:8">
      <c r="A38" t="s">
        <v>87</v>
      </c>
      <c r="B38" s="29" t="s">
        <v>198</v>
      </c>
      <c r="C38" s="29" t="s">
        <v>182</v>
      </c>
      <c r="D38" s="31"/>
      <c r="E38" s="31"/>
      <c r="F38" s="3">
        <v>6</v>
      </c>
    </row>
    <row r="39" spans="1:8">
      <c r="A39" t="s">
        <v>88</v>
      </c>
      <c r="B39" s="29" t="s">
        <v>198</v>
      </c>
      <c r="C39" s="29">
        <v>0.66666666666666663</v>
      </c>
      <c r="D39" s="31">
        <v>0.70833333333333337</v>
      </c>
      <c r="E39" s="31">
        <v>0.875</v>
      </c>
      <c r="F39" s="3">
        <v>8</v>
      </c>
      <c r="H39" s="2"/>
    </row>
    <row r="40" spans="1:8">
      <c r="A40" t="s">
        <v>89</v>
      </c>
      <c r="B40" s="29" t="s">
        <v>200</v>
      </c>
      <c r="C40" s="29" t="s">
        <v>185</v>
      </c>
      <c r="D40" s="31"/>
      <c r="E40" s="31"/>
      <c r="F40" s="3">
        <v>4</v>
      </c>
    </row>
    <row r="41" spans="1:8">
      <c r="A41" t="s">
        <v>90</v>
      </c>
      <c r="B41" s="29" t="s">
        <v>200</v>
      </c>
      <c r="C41" s="29" t="s">
        <v>201</v>
      </c>
      <c r="D41" s="31"/>
      <c r="E41" s="31"/>
      <c r="F41" s="3">
        <v>6</v>
      </c>
    </row>
    <row r="42" spans="1:8">
      <c r="A42" t="s">
        <v>91</v>
      </c>
      <c r="B42" s="29" t="s">
        <v>160</v>
      </c>
      <c r="C42" s="29" t="s">
        <v>162</v>
      </c>
      <c r="D42" s="31"/>
      <c r="E42" s="31"/>
      <c r="F42" s="3">
        <v>4</v>
      </c>
    </row>
    <row r="43" spans="1:8">
      <c r="A43" t="s">
        <v>92</v>
      </c>
      <c r="B43" s="29" t="s">
        <v>160</v>
      </c>
      <c r="C43" s="29" t="s">
        <v>187</v>
      </c>
      <c r="D43" s="31"/>
      <c r="E43" s="31"/>
      <c r="F43" s="3">
        <v>6</v>
      </c>
    </row>
    <row r="44" spans="1:8">
      <c r="A44" t="s">
        <v>93</v>
      </c>
      <c r="B44" s="29" t="s">
        <v>160</v>
      </c>
      <c r="C44" s="29">
        <v>0.6875</v>
      </c>
      <c r="D44" s="31">
        <v>0.72916666666666663</v>
      </c>
      <c r="E44" s="31">
        <v>0.89583333333333337</v>
      </c>
      <c r="F44" s="3">
        <v>8</v>
      </c>
      <c r="H44" s="2"/>
    </row>
    <row r="45" spans="1:8">
      <c r="A45" t="s">
        <v>94</v>
      </c>
      <c r="B45" s="29" t="s">
        <v>164</v>
      </c>
      <c r="C45" s="29" t="s">
        <v>189</v>
      </c>
      <c r="D45" s="31"/>
      <c r="E45" s="31"/>
      <c r="F45" s="3">
        <v>4</v>
      </c>
    </row>
    <row r="46" spans="1:8">
      <c r="A46" t="s">
        <v>95</v>
      </c>
      <c r="B46" s="29" t="s">
        <v>164</v>
      </c>
      <c r="C46" s="29" t="s">
        <v>203</v>
      </c>
      <c r="D46" s="31"/>
      <c r="E46" s="31"/>
      <c r="F46" s="3">
        <v>6</v>
      </c>
    </row>
    <row r="47" spans="1:8">
      <c r="A47" t="s">
        <v>96</v>
      </c>
      <c r="B47" s="29" t="s">
        <v>166</v>
      </c>
      <c r="C47" s="29" t="s">
        <v>168</v>
      </c>
      <c r="D47" s="31"/>
      <c r="E47" s="31"/>
      <c r="F47" s="3">
        <v>4</v>
      </c>
    </row>
    <row r="48" spans="1:8">
      <c r="A48" t="s">
        <v>97</v>
      </c>
      <c r="B48" s="29" t="s">
        <v>166</v>
      </c>
      <c r="C48" s="29" t="s">
        <v>191</v>
      </c>
      <c r="D48" s="31"/>
      <c r="E48" s="31"/>
      <c r="F48" s="3">
        <v>6</v>
      </c>
    </row>
    <row r="49" spans="1:8">
      <c r="A49" t="s">
        <v>98</v>
      </c>
      <c r="B49" s="29" t="s">
        <v>166</v>
      </c>
      <c r="C49" s="29">
        <v>0.70833333333333337</v>
      </c>
      <c r="D49" s="31">
        <v>0.75</v>
      </c>
      <c r="E49" s="31">
        <v>0.91666666666666663</v>
      </c>
      <c r="F49" s="3">
        <v>8</v>
      </c>
      <c r="H49" s="2"/>
    </row>
    <row r="50" spans="1:8">
      <c r="A50" t="s">
        <v>99</v>
      </c>
      <c r="B50" s="29" t="s">
        <v>170</v>
      </c>
      <c r="C50" s="29" t="s">
        <v>193</v>
      </c>
      <c r="D50" s="31"/>
      <c r="E50" s="31"/>
      <c r="F50" s="3">
        <v>4</v>
      </c>
    </row>
    <row r="51" spans="1:8">
      <c r="A51" t="s">
        <v>100</v>
      </c>
      <c r="B51" s="29" t="s">
        <v>173</v>
      </c>
      <c r="C51" s="29" t="s">
        <v>175</v>
      </c>
      <c r="D51" s="31"/>
      <c r="E51" s="31"/>
      <c r="F51" s="3">
        <v>4</v>
      </c>
    </row>
    <row r="52" spans="1:8">
      <c r="A52" t="s">
        <v>101</v>
      </c>
      <c r="B52" s="29" t="s">
        <v>173</v>
      </c>
      <c r="C52" s="29" t="s">
        <v>195</v>
      </c>
      <c r="D52" s="31"/>
      <c r="E52" s="31"/>
      <c r="F52" s="3">
        <v>6</v>
      </c>
    </row>
    <row r="53" spans="1:8">
      <c r="A53" t="s">
        <v>102</v>
      </c>
      <c r="B53" s="29" t="s">
        <v>177</v>
      </c>
      <c r="C53" s="29" t="s">
        <v>197</v>
      </c>
      <c r="D53" s="31"/>
      <c r="E53" s="31"/>
      <c r="F53" s="3">
        <v>4</v>
      </c>
    </row>
    <row r="54" spans="1:8">
      <c r="A54" t="s">
        <v>103</v>
      </c>
      <c r="B54" s="29" t="s">
        <v>177</v>
      </c>
      <c r="C54" s="29" t="s">
        <v>204</v>
      </c>
      <c r="D54" s="31"/>
      <c r="E54" s="31"/>
      <c r="F54" s="3">
        <v>6</v>
      </c>
    </row>
    <row r="55" spans="1:8">
      <c r="A55" t="s">
        <v>104</v>
      </c>
      <c r="B55" s="29" t="s">
        <v>180</v>
      </c>
      <c r="C55" s="29" t="s">
        <v>182</v>
      </c>
      <c r="D55" s="31"/>
      <c r="E55" s="31"/>
      <c r="F55" s="3">
        <v>4</v>
      </c>
    </row>
    <row r="56" spans="1:8">
      <c r="A56" t="s">
        <v>105</v>
      </c>
      <c r="B56" s="29" t="s">
        <v>180</v>
      </c>
      <c r="C56" s="29" t="s">
        <v>199</v>
      </c>
      <c r="D56" s="31"/>
      <c r="E56" s="31"/>
      <c r="F56" s="3">
        <v>6</v>
      </c>
    </row>
    <row r="57" spans="1:8">
      <c r="A57" t="s">
        <v>106</v>
      </c>
      <c r="B57" s="29" t="s">
        <v>184</v>
      </c>
      <c r="C57" s="29" t="s">
        <v>201</v>
      </c>
      <c r="D57" s="31"/>
      <c r="E57" s="31"/>
      <c r="F57" s="3">
        <v>4</v>
      </c>
    </row>
    <row r="58" spans="1:8">
      <c r="A58" t="s">
        <v>107</v>
      </c>
      <c r="B58" s="29" t="s">
        <v>161</v>
      </c>
      <c r="C58" s="29" t="s">
        <v>187</v>
      </c>
      <c r="D58" s="31"/>
      <c r="E58" s="31"/>
      <c r="F58" s="3">
        <v>4</v>
      </c>
    </row>
    <row r="59" spans="1:8">
      <c r="A59" t="s">
        <v>108</v>
      </c>
      <c r="B59" s="29" t="s">
        <v>161</v>
      </c>
      <c r="C59" s="29" t="s">
        <v>202</v>
      </c>
      <c r="D59" s="31"/>
      <c r="E59" s="31"/>
      <c r="F59" s="3">
        <v>6</v>
      </c>
    </row>
    <row r="60" spans="1:8">
      <c r="A60" t="s">
        <v>109</v>
      </c>
      <c r="B60" s="29" t="s">
        <v>205</v>
      </c>
      <c r="C60" s="29" t="s">
        <v>206</v>
      </c>
      <c r="D60" s="31"/>
      <c r="E60" s="31"/>
      <c r="F60" s="3">
        <v>6</v>
      </c>
    </row>
    <row r="61" spans="1:8">
      <c r="A61" t="s">
        <v>110</v>
      </c>
      <c r="B61" s="29" t="s">
        <v>165</v>
      </c>
      <c r="C61" s="29" t="s">
        <v>203</v>
      </c>
      <c r="D61" s="31"/>
      <c r="E61" s="31"/>
      <c r="F61" s="3">
        <v>4</v>
      </c>
    </row>
    <row r="62" spans="1:8">
      <c r="A62" t="s">
        <v>111</v>
      </c>
      <c r="B62" s="29" t="s">
        <v>167</v>
      </c>
      <c r="C62" s="29" t="s">
        <v>191</v>
      </c>
      <c r="D62" s="31"/>
      <c r="E62" s="31"/>
      <c r="F62" s="3">
        <v>4</v>
      </c>
    </row>
    <row r="63" spans="1:8">
      <c r="A63" t="s">
        <v>112</v>
      </c>
      <c r="B63" s="29" t="s">
        <v>167</v>
      </c>
      <c r="C63" s="29" t="s">
        <v>151</v>
      </c>
      <c r="D63" s="31"/>
      <c r="E63" s="31"/>
      <c r="F63" s="3">
        <v>6</v>
      </c>
    </row>
    <row r="64" spans="1:8">
      <c r="A64" t="s">
        <v>113</v>
      </c>
      <c r="B64" s="29" t="s">
        <v>174</v>
      </c>
      <c r="C64" s="29" t="s">
        <v>195</v>
      </c>
      <c r="D64" s="31"/>
      <c r="E64" s="31"/>
      <c r="F64" s="3">
        <v>4</v>
      </c>
    </row>
    <row r="65" spans="1:8">
      <c r="A65" t="s">
        <v>114</v>
      </c>
      <c r="B65" s="29" t="s">
        <v>178</v>
      </c>
      <c r="C65" s="29" t="s">
        <v>204</v>
      </c>
      <c r="D65" s="31"/>
      <c r="E65" s="31"/>
      <c r="F65" s="3">
        <v>4</v>
      </c>
    </row>
    <row r="66" spans="1:8">
      <c r="A66" t="s">
        <v>115</v>
      </c>
      <c r="B66" s="29" t="s">
        <v>181</v>
      </c>
      <c r="C66" s="29" t="s">
        <v>199</v>
      </c>
      <c r="D66" s="31"/>
      <c r="E66" s="31"/>
      <c r="F66" s="3">
        <v>4</v>
      </c>
    </row>
    <row r="67" spans="1:8">
      <c r="A67" t="s">
        <v>116</v>
      </c>
      <c r="B67" s="29" t="s">
        <v>162</v>
      </c>
      <c r="C67" s="29" t="s">
        <v>202</v>
      </c>
      <c r="D67" s="31"/>
      <c r="E67" s="31"/>
      <c r="F67" s="3">
        <v>4</v>
      </c>
    </row>
    <row r="68" spans="1:8">
      <c r="A68" t="s">
        <v>117</v>
      </c>
      <c r="B68" s="29" t="s">
        <v>168</v>
      </c>
      <c r="C68" s="29" t="s">
        <v>151</v>
      </c>
      <c r="D68" s="31"/>
      <c r="E68" s="31"/>
      <c r="F68" s="3">
        <v>4</v>
      </c>
    </row>
    <row r="69" spans="1:8">
      <c r="A69" t="s">
        <v>118</v>
      </c>
      <c r="B69" s="29" t="s">
        <v>171</v>
      </c>
      <c r="C69" s="29" t="s">
        <v>207</v>
      </c>
      <c r="D69" s="31"/>
      <c r="E69" s="31"/>
      <c r="F69" s="3">
        <v>4</v>
      </c>
    </row>
    <row r="70" spans="1:8">
      <c r="A70" t="s">
        <v>119</v>
      </c>
      <c r="B70" s="29" t="s">
        <v>184</v>
      </c>
      <c r="C70" s="29" t="s">
        <v>208</v>
      </c>
      <c r="D70" s="31"/>
      <c r="E70" s="31"/>
      <c r="F70" s="3">
        <v>6</v>
      </c>
    </row>
    <row r="71" spans="1:8">
      <c r="A71" t="s">
        <v>120</v>
      </c>
      <c r="B71" s="29" t="s">
        <v>165</v>
      </c>
      <c r="C71" s="29" t="s">
        <v>209</v>
      </c>
      <c r="D71" s="31"/>
      <c r="E71" s="31"/>
      <c r="F71" s="3">
        <v>6</v>
      </c>
    </row>
    <row r="72" spans="1:8">
      <c r="A72" t="s">
        <v>121</v>
      </c>
      <c r="B72" s="29" t="s">
        <v>189</v>
      </c>
      <c r="C72" s="29" t="s">
        <v>209</v>
      </c>
      <c r="D72" s="31"/>
      <c r="E72" s="31"/>
      <c r="F72" s="3">
        <v>4</v>
      </c>
    </row>
    <row r="73" spans="1:8">
      <c r="A73" t="s">
        <v>122</v>
      </c>
      <c r="B73" s="29" t="s">
        <v>210</v>
      </c>
      <c r="C73" s="29" t="s">
        <v>211</v>
      </c>
      <c r="D73" s="31"/>
      <c r="E73" s="31"/>
      <c r="F73" s="3">
        <v>6</v>
      </c>
    </row>
    <row r="74" spans="1:8">
      <c r="A74" t="s">
        <v>123</v>
      </c>
      <c r="B74" s="29" t="s">
        <v>212</v>
      </c>
      <c r="C74" s="29" t="s">
        <v>213</v>
      </c>
      <c r="D74" s="31"/>
      <c r="E74" s="31"/>
      <c r="F74" s="3">
        <v>6</v>
      </c>
    </row>
    <row r="75" spans="1:8">
      <c r="A75" t="s">
        <v>124</v>
      </c>
      <c r="B75" s="29" t="s">
        <v>170</v>
      </c>
      <c r="C75" s="29" t="s">
        <v>207</v>
      </c>
      <c r="D75" s="31"/>
      <c r="E75" s="31"/>
      <c r="F75" s="3">
        <v>6</v>
      </c>
    </row>
    <row r="76" spans="1:8">
      <c r="A76" t="s">
        <v>125</v>
      </c>
      <c r="B76" s="29" t="s">
        <v>159</v>
      </c>
      <c r="C76" s="29" t="s">
        <v>160</v>
      </c>
      <c r="D76" s="31"/>
      <c r="E76" s="31"/>
      <c r="F76" s="3">
        <v>4</v>
      </c>
    </row>
    <row r="77" spans="1:8">
      <c r="A77" t="s">
        <v>126</v>
      </c>
      <c r="B77" s="29" t="s">
        <v>185</v>
      </c>
      <c r="C77" s="29" t="s">
        <v>208</v>
      </c>
      <c r="D77" s="31"/>
      <c r="E77" s="31"/>
      <c r="F77" s="3">
        <v>4</v>
      </c>
    </row>
    <row r="78" spans="1:8">
      <c r="A78" t="s">
        <v>127</v>
      </c>
      <c r="B78" s="29" t="s">
        <v>163</v>
      </c>
      <c r="C78" s="29">
        <v>0.53125</v>
      </c>
      <c r="D78" s="31">
        <v>0.57291666666666663</v>
      </c>
      <c r="E78" s="31">
        <v>0.73958333333333337</v>
      </c>
      <c r="F78" s="3">
        <v>8</v>
      </c>
      <c r="H78" s="2"/>
    </row>
    <row r="79" spans="1:8">
      <c r="A79" t="s">
        <v>128</v>
      </c>
      <c r="B79" s="29" t="s">
        <v>169</v>
      </c>
      <c r="C79" s="29">
        <v>0.55208333333333337</v>
      </c>
      <c r="D79" s="31">
        <v>0.59375</v>
      </c>
      <c r="E79" s="31">
        <v>0.76041666666666663</v>
      </c>
      <c r="F79" s="3">
        <v>8</v>
      </c>
      <c r="H79" s="2"/>
    </row>
    <row r="80" spans="1:8">
      <c r="A80" t="s">
        <v>129</v>
      </c>
      <c r="B80" s="29" t="s">
        <v>176</v>
      </c>
      <c r="C80" s="29">
        <v>0.57291666666666663</v>
      </c>
      <c r="D80" s="31">
        <v>0.61458333333333337</v>
      </c>
      <c r="E80" s="31">
        <v>0.78125</v>
      </c>
      <c r="F80" s="3">
        <v>8</v>
      </c>
      <c r="H80" s="2"/>
    </row>
    <row r="81" spans="1:8">
      <c r="A81" t="s">
        <v>130</v>
      </c>
      <c r="B81" s="29" t="s">
        <v>183</v>
      </c>
      <c r="C81" s="29">
        <v>0.59375</v>
      </c>
      <c r="D81" s="31">
        <v>0.63541666666666663</v>
      </c>
      <c r="E81" s="31">
        <v>0.80208333333333337</v>
      </c>
      <c r="F81" s="3">
        <v>8</v>
      </c>
      <c r="H81" s="2"/>
    </row>
    <row r="82" spans="1:8">
      <c r="A82" t="s">
        <v>131</v>
      </c>
      <c r="B82" s="29" t="s">
        <v>188</v>
      </c>
      <c r="C82" s="29">
        <v>0.61458333333333337</v>
      </c>
      <c r="D82" s="31">
        <v>0.65625</v>
      </c>
      <c r="E82" s="31">
        <v>0.82291666666666663</v>
      </c>
      <c r="F82" s="3">
        <v>8</v>
      </c>
      <c r="H82" s="2"/>
    </row>
    <row r="83" spans="1:8">
      <c r="A83" t="s">
        <v>132</v>
      </c>
      <c r="B83" s="29" t="s">
        <v>192</v>
      </c>
      <c r="C83" s="29">
        <v>0.63541666666666663</v>
      </c>
      <c r="D83" s="31">
        <v>0.67708333333333337</v>
      </c>
      <c r="E83" s="31">
        <v>0.84375</v>
      </c>
      <c r="F83" s="3">
        <v>8</v>
      </c>
      <c r="H83" s="2"/>
    </row>
    <row r="84" spans="1:8">
      <c r="A84" t="s">
        <v>133</v>
      </c>
      <c r="B84" s="29" t="s">
        <v>196</v>
      </c>
      <c r="C84" s="29">
        <v>0.65625</v>
      </c>
      <c r="D84" s="31">
        <v>0.69791666666666663</v>
      </c>
      <c r="E84" s="31">
        <v>0.86458333333333337</v>
      </c>
      <c r="F84" s="3">
        <v>8</v>
      </c>
      <c r="H84" s="2"/>
    </row>
    <row r="85" spans="1:8">
      <c r="A85" t="s">
        <v>134</v>
      </c>
      <c r="B85" s="29" t="s">
        <v>200</v>
      </c>
      <c r="C85" s="29">
        <v>0.67708333333333337</v>
      </c>
      <c r="D85" s="31">
        <v>0.71875</v>
      </c>
      <c r="E85" s="31">
        <v>0.88541666666666663</v>
      </c>
      <c r="F85" s="3">
        <v>8</v>
      </c>
      <c r="H85" s="2"/>
    </row>
    <row r="86" spans="1:8">
      <c r="A86" t="s">
        <v>135</v>
      </c>
      <c r="B86" s="29" t="s">
        <v>164</v>
      </c>
      <c r="C86" s="29">
        <v>0.69791666666666663</v>
      </c>
      <c r="D86" s="31">
        <v>0.73958333333333337</v>
      </c>
      <c r="E86" s="31">
        <v>0.90625</v>
      </c>
      <c r="F86" s="3">
        <v>8</v>
      </c>
      <c r="H86" s="2"/>
    </row>
    <row r="87" spans="1:8">
      <c r="A87" t="s">
        <v>136</v>
      </c>
      <c r="B87" s="29" t="s">
        <v>159</v>
      </c>
      <c r="C87" s="29" t="s">
        <v>161</v>
      </c>
      <c r="D87" s="31"/>
      <c r="E87" s="31"/>
      <c r="F87" s="3">
        <v>6</v>
      </c>
    </row>
    <row r="88" spans="1:8">
      <c r="A88" t="s">
        <v>137</v>
      </c>
      <c r="B88" s="29" t="s">
        <v>159</v>
      </c>
      <c r="C88" s="29">
        <v>0.52083333333333337</v>
      </c>
      <c r="D88" s="31">
        <v>0.5625</v>
      </c>
      <c r="E88" s="31">
        <v>0.72916666666666663</v>
      </c>
      <c r="F88" s="3">
        <v>8</v>
      </c>
      <c r="H88" s="2"/>
    </row>
    <row r="89" spans="1:8">
      <c r="A89" t="s">
        <v>138</v>
      </c>
      <c r="B89" s="29" t="s">
        <v>158</v>
      </c>
      <c r="C89" s="29" t="s">
        <v>166</v>
      </c>
      <c r="D89" s="31"/>
      <c r="E89" s="31"/>
      <c r="F89" s="3">
        <v>4</v>
      </c>
    </row>
    <row r="90" spans="1:8">
      <c r="A90" t="s">
        <v>139</v>
      </c>
      <c r="B90" s="29" t="s">
        <v>158</v>
      </c>
      <c r="C90" s="29" t="s">
        <v>167</v>
      </c>
      <c r="D90" s="31"/>
      <c r="E90" s="31"/>
      <c r="F90" s="3">
        <v>6</v>
      </c>
    </row>
    <row r="91" spans="1:8">
      <c r="A91" t="s">
        <v>140</v>
      </c>
      <c r="B91" s="29" t="s">
        <v>158</v>
      </c>
      <c r="C91" s="29">
        <v>0.54166666666666663</v>
      </c>
      <c r="D91" s="31">
        <v>0.58333333333333337</v>
      </c>
      <c r="E91" s="31">
        <v>0.75</v>
      </c>
      <c r="F91" s="3">
        <v>8</v>
      </c>
      <c r="H91" s="2"/>
    </row>
    <row r="92" spans="1:8">
      <c r="A92" t="s">
        <v>141</v>
      </c>
      <c r="B92" s="29" t="s">
        <v>172</v>
      </c>
      <c r="C92" s="29">
        <v>0.5625</v>
      </c>
      <c r="D92" s="31">
        <v>0.60416666666666663</v>
      </c>
      <c r="E92" s="31">
        <v>0.77083333333333337</v>
      </c>
      <c r="F92" s="3">
        <v>8</v>
      </c>
      <c r="H92" s="2"/>
    </row>
    <row r="93" spans="1:8">
      <c r="A93" t="s">
        <v>142</v>
      </c>
      <c r="B93" s="29" t="s">
        <v>179</v>
      </c>
      <c r="C93" s="29">
        <v>0.58333333333333337</v>
      </c>
      <c r="D93" s="31">
        <v>0.625</v>
      </c>
      <c r="E93" s="31">
        <v>0.79166666666666663</v>
      </c>
      <c r="F93" s="3">
        <v>8</v>
      </c>
      <c r="H93" s="2"/>
    </row>
    <row r="94" spans="1:8">
      <c r="A94" t="s">
        <v>143</v>
      </c>
      <c r="B94" s="29" t="s">
        <v>190</v>
      </c>
      <c r="C94" s="29" t="s">
        <v>168</v>
      </c>
      <c r="D94" s="31"/>
      <c r="E94" s="31"/>
      <c r="F94" s="3">
        <v>6</v>
      </c>
    </row>
    <row r="95" spans="1:8">
      <c r="A95" t="s">
        <v>144</v>
      </c>
      <c r="B95" s="29" t="s">
        <v>190</v>
      </c>
      <c r="C95" s="29">
        <v>0.625</v>
      </c>
      <c r="D95" s="31">
        <v>0.66666666666666663</v>
      </c>
      <c r="E95" s="31">
        <v>0.83333333333333337</v>
      </c>
      <c r="F95" s="3">
        <v>8</v>
      </c>
      <c r="H95" s="2"/>
    </row>
    <row r="96" spans="1:8">
      <c r="A96" t="s">
        <v>145</v>
      </c>
      <c r="B96" s="29" t="s">
        <v>194</v>
      </c>
      <c r="C96" s="29">
        <v>0.64583333333333337</v>
      </c>
      <c r="D96" s="31">
        <v>0.6875</v>
      </c>
      <c r="E96" s="31">
        <v>0.85416666666666663</v>
      </c>
      <c r="F96" s="3">
        <v>8</v>
      </c>
      <c r="H96" s="2"/>
    </row>
    <row r="97" spans="1:8">
      <c r="A97" t="s">
        <v>146</v>
      </c>
      <c r="B97" s="29" t="s">
        <v>198</v>
      </c>
      <c r="C97" s="29">
        <v>0.66666666666666663</v>
      </c>
      <c r="D97" s="31">
        <v>0.70833333333333337</v>
      </c>
      <c r="E97" s="31">
        <v>0.875</v>
      </c>
      <c r="F97" s="3">
        <v>8</v>
      </c>
      <c r="H97" s="2"/>
    </row>
    <row r="98" spans="1:8">
      <c r="A98" t="s">
        <v>147</v>
      </c>
      <c r="B98" s="29" t="s">
        <v>160</v>
      </c>
      <c r="C98" s="29">
        <v>0.6875</v>
      </c>
      <c r="D98" s="31">
        <v>0.72916666666666663</v>
      </c>
      <c r="E98" s="31">
        <v>0.89583333333333337</v>
      </c>
      <c r="F98" s="3">
        <v>8</v>
      </c>
      <c r="H98" s="2"/>
    </row>
    <row r="99" spans="1:8">
      <c r="A99" t="s">
        <v>148</v>
      </c>
      <c r="B99" s="29" t="s">
        <v>166</v>
      </c>
      <c r="C99" s="29">
        <v>0.70833333333333337</v>
      </c>
      <c r="D99" s="31">
        <v>0.75</v>
      </c>
      <c r="E99" s="31">
        <v>0.91666666666666663</v>
      </c>
      <c r="F99" s="3">
        <v>8</v>
      </c>
      <c r="H99" s="2"/>
    </row>
    <row r="100" spans="1:8">
      <c r="A100" t="s">
        <v>149</v>
      </c>
      <c r="B100" s="29" t="s">
        <v>180</v>
      </c>
      <c r="C100" s="29" t="s">
        <v>199</v>
      </c>
      <c r="D100" s="31"/>
      <c r="E100" s="31"/>
      <c r="F100" s="3">
        <v>6</v>
      </c>
    </row>
    <row r="101" spans="1:8">
      <c r="A101" t="s">
        <v>150</v>
      </c>
      <c r="B101" s="29" t="s">
        <v>196</v>
      </c>
      <c r="C101" s="29">
        <v>0.65625</v>
      </c>
      <c r="D101" s="31">
        <v>0.69791666666666663</v>
      </c>
      <c r="E101" s="31">
        <v>0.86458333333333337</v>
      </c>
      <c r="F101" s="3">
        <v>8</v>
      </c>
      <c r="H101" s="2"/>
    </row>
    <row r="102" spans="1:8">
      <c r="A102" t="s">
        <v>504</v>
      </c>
      <c r="B102" s="29">
        <v>0.33333333333333331</v>
      </c>
      <c r="C102" s="29">
        <v>0.5</v>
      </c>
      <c r="D102" s="31"/>
      <c r="E102" s="31"/>
      <c r="F102" s="3">
        <v>4</v>
      </c>
    </row>
    <row r="103" spans="1:8">
      <c r="A103" t="s">
        <v>505</v>
      </c>
      <c r="B103" s="29">
        <v>0.34375</v>
      </c>
      <c r="C103" s="29">
        <v>0.51041666666666663</v>
      </c>
      <c r="D103" s="31"/>
      <c r="E103" s="31"/>
      <c r="F103" s="3">
        <v>4</v>
      </c>
    </row>
    <row r="104" spans="1:8">
      <c r="A104" t="s">
        <v>506</v>
      </c>
      <c r="B104" s="29">
        <v>0.33333333333333331</v>
      </c>
      <c r="C104" s="29">
        <v>0.5</v>
      </c>
      <c r="D104" s="31">
        <v>0.54166666666666663</v>
      </c>
      <c r="E104" s="31">
        <v>0.70833333333333337</v>
      </c>
      <c r="F104" s="3">
        <v>8</v>
      </c>
      <c r="H104" s="2"/>
    </row>
    <row r="105" spans="1:8">
      <c r="A105" t="s">
        <v>507</v>
      </c>
      <c r="B105" s="29">
        <v>0.34375</v>
      </c>
      <c r="C105" s="29">
        <v>0.51041666666666663</v>
      </c>
      <c r="D105" s="31">
        <v>0.55208333333333337</v>
      </c>
      <c r="E105" s="31">
        <v>0.71875</v>
      </c>
      <c r="F105" s="3">
        <v>8</v>
      </c>
      <c r="H105" s="2"/>
    </row>
  </sheetData>
  <autoFilter ref="A1:F105" xr:uid="{00000000-0001-0000-0000-000000000000}"/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51232-DE35-4AFA-A353-AF5CBD54AEA2}">
  <sheetPr codeName="Foglio2"/>
  <dimension ref="A1:AE29"/>
  <sheetViews>
    <sheetView zoomScale="90" zoomScaleNormal="90" workbookViewId="0">
      <selection activeCell="K5" sqref="K5"/>
    </sheetView>
  </sheetViews>
  <sheetFormatPr defaultRowHeight="15"/>
  <cols>
    <col min="1" max="1" width="20.140625" bestFit="1" customWidth="1"/>
    <col min="2" max="2" width="33.85546875" bestFit="1" customWidth="1"/>
    <col min="5" max="6" width="8.7109375" style="7"/>
    <col min="8" max="8" width="10.42578125" customWidth="1"/>
    <col min="9" max="9" width="20.42578125" customWidth="1"/>
    <col min="10" max="14" width="9.140625" customWidth="1"/>
    <col min="15" max="15" width="19.5703125" customWidth="1"/>
    <col min="16" max="17" width="9.140625" customWidth="1"/>
    <col min="22" max="22" width="17.140625" customWidth="1"/>
    <col min="25" max="25" width="21.42578125" bestFit="1" customWidth="1"/>
    <col min="29" max="29" width="60" bestFit="1" customWidth="1"/>
    <col min="30" max="30" width="62.42578125" bestFit="1" customWidth="1"/>
  </cols>
  <sheetData>
    <row r="1" spans="1:31" s="22" customFormat="1" ht="38.25" customHeight="1">
      <c r="A1" s="22" t="s">
        <v>228</v>
      </c>
      <c r="B1" s="22" t="s">
        <v>223</v>
      </c>
      <c r="C1" s="22" t="s">
        <v>222</v>
      </c>
      <c r="D1" s="22" t="s">
        <v>221</v>
      </c>
      <c r="E1" s="23" t="s">
        <v>224</v>
      </c>
      <c r="F1" s="23" t="s">
        <v>225</v>
      </c>
      <c r="G1" s="22" t="s">
        <v>448</v>
      </c>
      <c r="H1" s="22" t="s">
        <v>409</v>
      </c>
      <c r="I1" s="22" t="s">
        <v>459</v>
      </c>
      <c r="J1" s="22" t="s">
        <v>460</v>
      </c>
      <c r="K1" s="22" t="s">
        <v>461</v>
      </c>
      <c r="L1" s="22" t="s">
        <v>462</v>
      </c>
      <c r="M1" s="22" t="s">
        <v>463</v>
      </c>
      <c r="N1" s="22" t="s">
        <v>464</v>
      </c>
      <c r="O1" s="22" t="s">
        <v>465</v>
      </c>
      <c r="P1" s="22" t="s">
        <v>466</v>
      </c>
      <c r="R1" s="24" t="s">
        <v>468</v>
      </c>
      <c r="S1" s="25" t="s">
        <v>469</v>
      </c>
      <c r="T1" s="25" t="s">
        <v>470</v>
      </c>
      <c r="U1" s="24" t="s">
        <v>471</v>
      </c>
      <c r="V1" s="24" t="s">
        <v>472</v>
      </c>
      <c r="W1" s="24" t="s">
        <v>473</v>
      </c>
      <c r="X1" s="24" t="s">
        <v>474</v>
      </c>
      <c r="Y1" s="24" t="s">
        <v>475</v>
      </c>
      <c r="Z1" s="24" t="s">
        <v>476</v>
      </c>
      <c r="AA1" s="24" t="s">
        <v>477</v>
      </c>
      <c r="AB1" s="24" t="s">
        <v>478</v>
      </c>
      <c r="AC1" s="24" t="s">
        <v>482</v>
      </c>
      <c r="AD1" s="24" t="s">
        <v>483</v>
      </c>
    </row>
    <row r="2" spans="1:31" ht="15.75" thickBot="1">
      <c r="A2" t="s">
        <v>434</v>
      </c>
      <c r="B2" t="s">
        <v>484</v>
      </c>
      <c r="C2">
        <v>8</v>
      </c>
      <c r="D2">
        <v>2</v>
      </c>
      <c r="E2" s="7">
        <v>0.33333333333333331</v>
      </c>
      <c r="F2" s="7">
        <v>0.83333333333333337</v>
      </c>
      <c r="G2" s="6"/>
      <c r="H2" s="6" t="s">
        <v>467</v>
      </c>
      <c r="R2" t="str" cm="1">
        <f t="array" aca="1" ref="R2" ca="1">+IFERROR(_xlfn.XLOOKUP($B2,INDIRECT("'[storico profut.xlsm]Consiglio_Week'!$B:$B"),INDIRECT("'[storico profut.xlsm]Consiglio_Week'!$I:$I")),"")</f>
        <v/>
      </c>
      <c r="S2" t="str" cm="1">
        <f t="array" aca="1" ref="S2" ca="1">+IFERROR(_xlfn.XLOOKUP($B2,INDIRECT("'[storico profut.xlsm]Consiglio_Week'!$B:$B"),INDIRECT("'[storico profut.xlsm]Consiglio_Week'!$L:$L")),"")</f>
        <v/>
      </c>
      <c r="T2" t="str" cm="1">
        <f t="array" aca="1" ref="T2" ca="1">+IFERROR(_xlfn.XLOOKUP($B2,INDIRECT("'[storico profut.xlsm]Consiglio_Week'!$B:$B"),INDIRECT("'[storico profut.xlsm]Consiglio_Week'!$M:$M")),"")</f>
        <v/>
      </c>
      <c r="U2" t="str" cm="1">
        <f t="array" aca="1" ref="U2" ca="1">+IFERROR(_xlfn.XLOOKUP($B2,INDIRECT("'[storico profut.xlsm]Consiglio_Week'!$B:$B"),INDIRECT("'[storico profut.xlsm]Consiglio_Week'!$P:$P")),"")</f>
        <v/>
      </c>
      <c r="V2" s="26" t="str" cm="1">
        <f t="array" aca="1" ref="V2" ca="1">IFERROR(
  _xlfn.XLOOKUP(
    $B2,
    INDIRECT("'[storico profut.xlsm]Consiglio_Week'!B:B"),
    OFFSET( INDIRECT("'[storico profut.xlsm]Consiglio_Week'!$R:$R"), 0, COLUMNS($A:A)-1 )
  ),
  ""
)</f>
        <v/>
      </c>
      <c r="W2" s="26" t="str" cm="1">
        <f t="array" aca="1" ref="W2" ca="1">IFERROR(
  _xlfn.XLOOKUP(
    $B2,
    INDIRECT("'[storico profut.xlsm]Consiglio_Week'!B:B"),
    OFFSET( INDIRECT("'[storico profut.xlsm]Consiglio_Week'!$R:$R"), 0, COLUMNS($A:B)-1 )
  ),
  ""
)</f>
        <v/>
      </c>
      <c r="X2" s="26" t="str" cm="1">
        <f t="array" aca="1" ref="X2" ca="1">IFERROR(
  _xlfn.XLOOKUP(
    $B2,
    INDIRECT("'[storico profut.xlsm]Consiglio_Week'!B:B"),
    OFFSET( INDIRECT("'[storico profut.xlsm]Consiglio_Week'!$R:$R"), 0, COLUMNS($A:C)-1 )
  ),
  ""
)</f>
        <v/>
      </c>
      <c r="Y2" s="26" t="str" cm="1">
        <f t="array" aca="1" ref="Y2" ca="1">IFERROR(
  _xlfn.XLOOKUP(
    $B2,
    INDIRECT("'[storico profut.xlsm]Consiglio_Week'!B:B"),
    OFFSET( INDIRECT("'[storico profut.xlsm]Consiglio_Week'!$R:$R"), 0, COLUMNS($A:D)-1 )
  ),
  ""
)</f>
        <v/>
      </c>
      <c r="Z2" s="26" t="str" cm="1">
        <f t="array" aca="1" ref="Z2" ca="1">IFERROR(
  _xlfn.XLOOKUP(
    $B2,
    INDIRECT("'[storico profut.xlsm]Consiglio_Week'!B:B"),
    OFFSET( INDIRECT("'[storico profut.xlsm]Consiglio_Week'!$R:$R"), 0, COLUMNS($A:E)-1 )
  ),
  ""
)</f>
        <v/>
      </c>
      <c r="AA2" s="27" t="str" cm="1">
        <f t="array" aca="1" ref="AA2" ca="1">IFERROR(
  _xlfn.XLOOKUP(
    $B2,
    INDIRECT("'[storico profut.xlsm]Consiglio_Week'!B:B"),
    OFFSET( INDIRECT("'[storico profut.xlsm]Consiglio_Week'!$R:$R"), 0, COLUMNS($A:F)-1 )
  ),
  ""
)</f>
        <v/>
      </c>
      <c r="AB2" s="26" t="str" cm="1">
        <f t="array" aca="1" ref="AB2" ca="1">IFERROR(
  _xlfn.XLOOKUP(
    $B2,
    INDIRECT("'[storico profut.xlsm]Consiglio_Week'!B:B"),
    OFFSET( INDIRECT("'[storico profut.xlsm]Consiglio_Week'!$R:$R"), 0, COLUMNS($A:G)-1 )
  ),
  ""
)</f>
        <v/>
      </c>
      <c r="AC2" s="26" t="str" cm="1">
        <f t="array" aca="1" ref="AC2" ca="1">IFERROR(
  _xlfn.XLOOKUP(
    $B2,
    INDIRECT("'[storico profut.xlsm]Consiglio_Week'!B:B"),
    OFFSET( INDIRECT("'[storico profut.xlsm]Consiglio_Week'!$R:$R"), 0, COLUMNS($A:H)-1 )
  ),
  ""
)</f>
        <v/>
      </c>
      <c r="AD2" s="26" t="str" cm="1">
        <f t="array" aca="1" ref="AD2" ca="1">IFERROR(
  _xlfn.XLOOKUP(
    $B2,
    INDIRECT("'[storico profut.xlsm]Consiglio_Week'!B:B"),
    OFFSET( INDIRECT("'[storico profut.xlsm]Consiglio_Week'!$R:$R"), 0, COLUMNS($A:I)-1 )
  ),
  ""
)</f>
        <v/>
      </c>
      <c r="AE2" s="18" t="s">
        <v>452</v>
      </c>
    </row>
    <row r="3" spans="1:31" ht="15.75" thickBot="1">
      <c r="A3" t="s">
        <v>152</v>
      </c>
      <c r="B3" t="s">
        <v>485</v>
      </c>
      <c r="C3">
        <v>8</v>
      </c>
      <c r="D3">
        <v>2</v>
      </c>
      <c r="E3" s="7">
        <v>0.33333333333333331</v>
      </c>
      <c r="F3" s="7">
        <v>0.83333333333333337</v>
      </c>
      <c r="G3" s="6"/>
      <c r="H3" s="6" t="s">
        <v>467</v>
      </c>
      <c r="R3" t="str" cm="1">
        <f t="array" aca="1" ref="R3" ca="1">+IFERROR(_xlfn.XLOOKUP($B3,INDIRECT("'[storico profut.xlsm]Consiglio_Week'!$B:$B"),INDIRECT("'[storico profut.xlsm]Consiglio_Week'!$I:$I")),"")</f>
        <v/>
      </c>
      <c r="S3" t="str" cm="1">
        <f t="array" aca="1" ref="S3" ca="1">+IFERROR(_xlfn.XLOOKUP($B3,INDIRECT("'[storico profut.xlsm]Consiglio_Week'!$B:$B"),INDIRECT("'[storico profut.xlsm]Consiglio_Week'!$L:$L")),"")</f>
        <v/>
      </c>
      <c r="T3" t="str" cm="1">
        <f t="array" aca="1" ref="T3" ca="1">+IFERROR(_xlfn.XLOOKUP($B3,INDIRECT("'[storico profut.xlsm]Consiglio_Week'!$B:$B"),INDIRECT("'[storico profut.xlsm]Consiglio_Week'!$M:$M")),"")</f>
        <v/>
      </c>
      <c r="U3" t="str" cm="1">
        <f t="array" aca="1" ref="U3" ca="1">+IFERROR(_xlfn.XLOOKUP($B3,INDIRECT("'[storico profut.xlsm]Consiglio_Week'!$B:$B"),INDIRECT("'[storico profut.xlsm]Consiglio_Week'!$P:$P")),"")</f>
        <v/>
      </c>
      <c r="V3" s="26" t="str" cm="1">
        <f t="array" aca="1" ref="V3" ca="1">IFERROR(
  _xlfn.XLOOKUP(
    $B3,
    INDIRECT("'[storico profut.xlsm]Consiglio_Week'!B:B"),
    OFFSET( INDIRECT("'[storico profut.xlsm]Consiglio_Week'!$R:$R"), 0, COLUMNS($A:A)-1 )
  ),
  ""
)</f>
        <v/>
      </c>
      <c r="W3" s="26" t="str" cm="1">
        <f t="array" aca="1" ref="W3" ca="1">IFERROR(
  _xlfn.XLOOKUP(
    $B3,
    INDIRECT("'[storico profut.xlsm]Consiglio_Week'!B:B"),
    OFFSET( INDIRECT("'[storico profut.xlsm]Consiglio_Week'!$R:$R"), 0, COLUMNS($A:B)-1 )
  ),
  ""
)</f>
        <v/>
      </c>
      <c r="X3" s="26" t="str" cm="1">
        <f t="array" aca="1" ref="X3" ca="1">IFERROR(
  _xlfn.XLOOKUP(
    $B3,
    INDIRECT("'[storico profut.xlsm]Consiglio_Week'!B:B"),
    OFFSET( INDIRECT("'[storico profut.xlsm]Consiglio_Week'!$R:$R"), 0, COLUMNS($A:C)-1 )
  ),
  ""
)</f>
        <v/>
      </c>
      <c r="Y3" s="26" t="str" cm="1">
        <f t="array" aca="1" ref="Y3" ca="1">IFERROR(
  _xlfn.XLOOKUP(
    $B3,
    INDIRECT("'[storico profut.xlsm]Consiglio_Week'!B:B"),
    OFFSET( INDIRECT("'[storico profut.xlsm]Consiglio_Week'!$R:$R"), 0, COLUMNS($A:D)-1 )
  ),
  ""
)</f>
        <v/>
      </c>
      <c r="Z3" s="26" t="str" cm="1">
        <f t="array" aca="1" ref="Z3" ca="1">IFERROR(
  _xlfn.XLOOKUP(
    $B3,
    INDIRECT("'[storico profut.xlsm]Consiglio_Week'!B:B"),
    OFFSET( INDIRECT("'[storico profut.xlsm]Consiglio_Week'!$R:$R"), 0, COLUMNS($A:E)-1 )
  ),
  ""
)</f>
        <v/>
      </c>
      <c r="AA3" s="27" t="str" cm="1">
        <f t="array" aca="1" ref="AA3" ca="1">IFERROR(
  _xlfn.XLOOKUP(
    $B3,
    INDIRECT("'[storico profut.xlsm]Consiglio_Week'!B:B"),
    OFFSET( INDIRECT("'[storico profut.xlsm]Consiglio_Week'!$R:$R"), 0, COLUMNS($A:F)-1 )
  ),
  ""
)</f>
        <v/>
      </c>
      <c r="AB3" s="26" t="str" cm="1">
        <f t="array" aca="1" ref="AB3" ca="1">IFERROR(
  _xlfn.XLOOKUP(
    $B3,
    INDIRECT("'[storico profut.xlsm]Consiglio_Week'!B:B"),
    OFFSET( INDIRECT("'[storico profut.xlsm]Consiglio_Week'!$R:$R"), 0, COLUMNS($A:G)-1 )
  ),
  ""
)</f>
        <v/>
      </c>
      <c r="AC3" s="26" t="str" cm="1">
        <f t="array" aca="1" ref="AC3" ca="1">IFERROR(
  _xlfn.XLOOKUP(
    $B3,
    INDIRECT("'[storico profut.xlsm]Consiglio_Week'!B:B"),
    OFFSET( INDIRECT("'[storico profut.xlsm]Consiglio_Week'!$R:$R"), 0, COLUMNS($A:H)-1 )
  ),
  ""
)</f>
        <v/>
      </c>
      <c r="AD3" s="26" t="str" cm="1">
        <f t="array" aca="1" ref="AD3" ca="1">IFERROR(
  _xlfn.XLOOKUP(
    $B3,
    INDIRECT("'[storico profut.xlsm]Consiglio_Week'!B:B"),
    OFFSET( INDIRECT("'[storico profut.xlsm]Consiglio_Week'!$R:$R"), 0, COLUMNS($A:I)-1 )
  ),
  ""
)</f>
        <v/>
      </c>
      <c r="AE3" s="19" t="s">
        <v>453</v>
      </c>
    </row>
    <row r="4" spans="1:31" ht="15.75" thickBot="1">
      <c r="A4" t="s">
        <v>153</v>
      </c>
      <c r="B4" t="s">
        <v>486</v>
      </c>
      <c r="C4">
        <v>8</v>
      </c>
      <c r="D4">
        <v>2</v>
      </c>
      <c r="E4" s="7">
        <v>0.33333333333333331</v>
      </c>
      <c r="F4" s="7">
        <v>0.83333333333333337</v>
      </c>
      <c r="G4" s="8"/>
      <c r="H4" s="6" t="s">
        <v>467</v>
      </c>
      <c r="R4" t="str" cm="1">
        <f t="array" aca="1" ref="R4" ca="1">+IFERROR(_xlfn.XLOOKUP($B4,INDIRECT("'[storico profut.xlsm]Consiglio_Week'!$B:$B"),INDIRECT("'[storico profut.xlsm]Consiglio_Week'!$I:$I")),"")</f>
        <v/>
      </c>
      <c r="S4" t="str" cm="1">
        <f t="array" aca="1" ref="S4" ca="1">+IFERROR(_xlfn.XLOOKUP($B4,INDIRECT("'[storico profut.xlsm]Consiglio_Week'!$B:$B"),INDIRECT("'[storico profut.xlsm]Consiglio_Week'!$L:$L")),"")</f>
        <v/>
      </c>
      <c r="T4" t="str" cm="1">
        <f t="array" aca="1" ref="T4" ca="1">+IFERROR(_xlfn.XLOOKUP($B4,INDIRECT("'[storico profut.xlsm]Consiglio_Week'!$B:$B"),INDIRECT("'[storico profut.xlsm]Consiglio_Week'!$M:$M")),"")</f>
        <v/>
      </c>
      <c r="U4" t="str" cm="1">
        <f t="array" aca="1" ref="U4" ca="1">+IFERROR(_xlfn.XLOOKUP($B4,INDIRECT("'[storico profut.xlsm]Consiglio_Week'!$B:$B"),INDIRECT("'[storico profut.xlsm]Consiglio_Week'!$P:$P")),"")</f>
        <v/>
      </c>
      <c r="V4" s="26" t="str" cm="1">
        <f t="array" aca="1" ref="V4" ca="1">IFERROR(
  _xlfn.XLOOKUP(
    $B4,
    INDIRECT("'[storico profut.xlsm]Consiglio_Week'!B:B"),
    OFFSET( INDIRECT("'[storico profut.xlsm]Consiglio_Week'!$R:$R"), 0, COLUMNS($A:A)-1 )
  ),
  ""
)</f>
        <v/>
      </c>
      <c r="W4" s="26" t="str" cm="1">
        <f t="array" aca="1" ref="W4" ca="1">IFERROR(
  _xlfn.XLOOKUP(
    $B4,
    INDIRECT("'[storico profut.xlsm]Consiglio_Week'!B:B"),
    OFFSET( INDIRECT("'[storico profut.xlsm]Consiglio_Week'!$R:$R"), 0, COLUMNS($A:B)-1 )
  ),
  ""
)</f>
        <v/>
      </c>
      <c r="X4" s="26" t="str" cm="1">
        <f t="array" aca="1" ref="X4" ca="1">IFERROR(
  _xlfn.XLOOKUP(
    $B4,
    INDIRECT("'[storico profut.xlsm]Consiglio_Week'!B:B"),
    OFFSET( INDIRECT("'[storico profut.xlsm]Consiglio_Week'!$R:$R"), 0, COLUMNS($A:C)-1 )
  ),
  ""
)</f>
        <v/>
      </c>
      <c r="Y4" s="26" t="str" cm="1">
        <f t="array" aca="1" ref="Y4" ca="1">IFERROR(
  _xlfn.XLOOKUP(
    $B4,
    INDIRECT("'[storico profut.xlsm]Consiglio_Week'!B:B"),
    OFFSET( INDIRECT("'[storico profut.xlsm]Consiglio_Week'!$R:$R"), 0, COLUMNS($A:D)-1 )
  ),
  ""
)</f>
        <v/>
      </c>
      <c r="Z4" s="26" t="str" cm="1">
        <f t="array" aca="1" ref="Z4" ca="1">IFERROR(
  _xlfn.XLOOKUP(
    $B4,
    INDIRECT("'[storico profut.xlsm]Consiglio_Week'!B:B"),
    OFFSET( INDIRECT("'[storico profut.xlsm]Consiglio_Week'!$R:$R"), 0, COLUMNS($A:E)-1 )
  ),
  ""
)</f>
        <v/>
      </c>
      <c r="AA4" s="27" t="str" cm="1">
        <f t="array" aca="1" ref="AA4" ca="1">IFERROR(
  _xlfn.XLOOKUP(
    $B4,
    INDIRECT("'[storico profut.xlsm]Consiglio_Week'!B:B"),
    OFFSET( INDIRECT("'[storico profut.xlsm]Consiglio_Week'!$R:$R"), 0, COLUMNS($A:F)-1 )
  ),
  ""
)</f>
        <v/>
      </c>
      <c r="AB4" s="26" t="str" cm="1">
        <f t="array" aca="1" ref="AB4" ca="1">IFERROR(
  _xlfn.XLOOKUP(
    $B4,
    INDIRECT("'[storico profut.xlsm]Consiglio_Week'!B:B"),
    OFFSET( INDIRECT("'[storico profut.xlsm]Consiglio_Week'!$R:$R"), 0, COLUMNS($A:G)-1 )
  ),
  ""
)</f>
        <v/>
      </c>
      <c r="AC4" s="26" t="str" cm="1">
        <f t="array" aca="1" ref="AC4" ca="1">IFERROR(
  _xlfn.XLOOKUP(
    $B4,
    INDIRECT("'[storico profut.xlsm]Consiglio_Week'!B:B"),
    OFFSET( INDIRECT("'[storico profut.xlsm]Consiglio_Week'!$R:$R"), 0, COLUMNS($A:H)-1 )
  ),
  ""
)</f>
        <v/>
      </c>
      <c r="AD4" s="26" t="str" cm="1">
        <f t="array" aca="1" ref="AD4" ca="1">IFERROR(
  _xlfn.XLOOKUP(
    $B4,
    INDIRECT("'[storico profut.xlsm]Consiglio_Week'!B:B"),
    OFFSET( INDIRECT("'[storico profut.xlsm]Consiglio_Week'!$R:$R"), 0, COLUMNS($A:I)-1 )
  ),
  ""
)</f>
        <v/>
      </c>
      <c r="AE4" s="20" t="s">
        <v>412</v>
      </c>
    </row>
    <row r="5" spans="1:31" ht="15.75" thickBot="1">
      <c r="A5" t="s">
        <v>435</v>
      </c>
      <c r="B5" t="s">
        <v>487</v>
      </c>
      <c r="C5">
        <v>8</v>
      </c>
      <c r="D5">
        <v>2</v>
      </c>
      <c r="E5" s="7">
        <v>0.33333333333333331</v>
      </c>
      <c r="F5" s="7">
        <v>0.83333333333333337</v>
      </c>
      <c r="G5" s="6"/>
      <c r="H5" s="6" t="s">
        <v>467</v>
      </c>
      <c r="R5" t="str" cm="1">
        <f t="array" aca="1" ref="R5" ca="1">+IFERROR(_xlfn.XLOOKUP($B5,INDIRECT("'[storico profut.xlsm]Consiglio_Week'!$B:$B"),INDIRECT("'[storico profut.xlsm]Consiglio_Week'!$I:$I")),"")</f>
        <v/>
      </c>
      <c r="S5" t="str" cm="1">
        <f t="array" aca="1" ref="S5" ca="1">+IFERROR(_xlfn.XLOOKUP($B5,INDIRECT("'[storico profut.xlsm]Consiglio_Week'!$B:$B"),INDIRECT("'[storico profut.xlsm]Consiglio_Week'!$L:$L")),"")</f>
        <v/>
      </c>
      <c r="T5" t="str" cm="1">
        <f t="array" aca="1" ref="T5" ca="1">+IFERROR(_xlfn.XLOOKUP($B5,INDIRECT("'[storico profut.xlsm]Consiglio_Week'!$B:$B"),INDIRECT("'[storico profut.xlsm]Consiglio_Week'!$M:$M")),"")</f>
        <v/>
      </c>
      <c r="U5" t="str" cm="1">
        <f t="array" aca="1" ref="U5" ca="1">+IFERROR(_xlfn.XLOOKUP($B5,INDIRECT("'[storico profut.xlsm]Consiglio_Week'!$B:$B"),INDIRECT("'[storico profut.xlsm]Consiglio_Week'!$P:$P")),"")</f>
        <v/>
      </c>
      <c r="V5" s="26" t="str" cm="1">
        <f t="array" aca="1" ref="V5" ca="1">IFERROR(
  _xlfn.XLOOKUP(
    $B5,
    INDIRECT("'[storico profut.xlsm]Consiglio_Week'!B:B"),
    OFFSET( INDIRECT("'[storico profut.xlsm]Consiglio_Week'!$R:$R"), 0, COLUMNS($A:A)-1 )
  ),
  ""
)</f>
        <v/>
      </c>
      <c r="W5" s="26" t="str" cm="1">
        <f t="array" aca="1" ref="W5" ca="1">IFERROR(
  _xlfn.XLOOKUP(
    $B5,
    INDIRECT("'[storico profut.xlsm]Consiglio_Week'!B:B"),
    OFFSET( INDIRECT("'[storico profut.xlsm]Consiglio_Week'!$R:$R"), 0, COLUMNS($A:B)-1 )
  ),
  ""
)</f>
        <v/>
      </c>
      <c r="X5" s="26" t="str" cm="1">
        <f t="array" aca="1" ref="X5" ca="1">IFERROR(
  _xlfn.XLOOKUP(
    $B5,
    INDIRECT("'[storico profut.xlsm]Consiglio_Week'!B:B"),
    OFFSET( INDIRECT("'[storico profut.xlsm]Consiglio_Week'!$R:$R"), 0, COLUMNS($A:C)-1 )
  ),
  ""
)</f>
        <v/>
      </c>
      <c r="Y5" s="26" t="str" cm="1">
        <f t="array" aca="1" ref="Y5" ca="1">IFERROR(
  _xlfn.XLOOKUP(
    $B5,
    INDIRECT("'[storico profut.xlsm]Consiglio_Week'!B:B"),
    OFFSET( INDIRECT("'[storico profut.xlsm]Consiglio_Week'!$R:$R"), 0, COLUMNS($A:D)-1 )
  ),
  ""
)</f>
        <v/>
      </c>
      <c r="Z5" s="26" t="str" cm="1">
        <f t="array" aca="1" ref="Z5" ca="1">IFERROR(
  _xlfn.XLOOKUP(
    $B5,
    INDIRECT("'[storico profut.xlsm]Consiglio_Week'!B:B"),
    OFFSET( INDIRECT("'[storico profut.xlsm]Consiglio_Week'!$R:$R"), 0, COLUMNS($A:E)-1 )
  ),
  ""
)</f>
        <v/>
      </c>
      <c r="AA5" s="27" t="str" cm="1">
        <f t="array" aca="1" ref="AA5" ca="1">IFERROR(
  _xlfn.XLOOKUP(
    $B5,
    INDIRECT("'[storico profut.xlsm]Consiglio_Week'!B:B"),
    OFFSET( INDIRECT("'[storico profut.xlsm]Consiglio_Week'!$R:$R"), 0, COLUMNS($A:F)-1 )
  ),
  ""
)</f>
        <v/>
      </c>
      <c r="AB5" s="26" t="str" cm="1">
        <f t="array" aca="1" ref="AB5" ca="1">IFERROR(
  _xlfn.XLOOKUP(
    $B5,
    INDIRECT("'[storico profut.xlsm]Consiglio_Week'!B:B"),
    OFFSET( INDIRECT("'[storico profut.xlsm]Consiglio_Week'!$R:$R"), 0, COLUMNS($A:G)-1 )
  ),
  ""
)</f>
        <v/>
      </c>
      <c r="AC5" s="26" t="str" cm="1">
        <f t="array" aca="1" ref="AC5" ca="1">IFERROR(
  _xlfn.XLOOKUP(
    $B5,
    INDIRECT("'[storico profut.xlsm]Consiglio_Week'!B:B"),
    OFFSET( INDIRECT("'[storico profut.xlsm]Consiglio_Week'!$R:$R"), 0, COLUMNS($A:H)-1 )
  ),
  ""
)</f>
        <v/>
      </c>
      <c r="AD5" s="26" t="str" cm="1">
        <f t="array" aca="1" ref="AD5" ca="1">IFERROR(
  _xlfn.XLOOKUP(
    $B5,
    INDIRECT("'[storico profut.xlsm]Consiglio_Week'!B:B"),
    OFFSET( INDIRECT("'[storico profut.xlsm]Consiglio_Week'!$R:$R"), 0, COLUMNS($A:I)-1 )
  ),
  ""
)</f>
        <v/>
      </c>
      <c r="AE5" s="20" t="s">
        <v>413</v>
      </c>
    </row>
    <row r="6" spans="1:31" ht="15.75" thickBot="1">
      <c r="A6" t="s">
        <v>436</v>
      </c>
      <c r="B6" t="s">
        <v>488</v>
      </c>
      <c r="C6">
        <v>8</v>
      </c>
      <c r="D6">
        <v>2</v>
      </c>
      <c r="E6" s="7">
        <v>0.33333333333333331</v>
      </c>
      <c r="F6" s="7">
        <v>0.83333333333333337</v>
      </c>
      <c r="G6" s="16"/>
      <c r="H6" s="16" t="s">
        <v>467</v>
      </c>
      <c r="R6" t="str" cm="1">
        <f t="array" aca="1" ref="R6" ca="1">+IFERROR(_xlfn.XLOOKUP($B6,INDIRECT("'[storico profut.xlsm]Consiglio_Week'!$B:$B"),INDIRECT("'[storico profut.xlsm]Consiglio_Week'!$I:$I")),"")</f>
        <v/>
      </c>
      <c r="S6" t="str" cm="1">
        <f t="array" aca="1" ref="S6" ca="1">+IFERROR(_xlfn.XLOOKUP($B6,INDIRECT("'[storico profut.xlsm]Consiglio_Week'!$B:$B"),INDIRECT("'[storico profut.xlsm]Consiglio_Week'!$L:$L")),"")</f>
        <v/>
      </c>
      <c r="T6" t="str" cm="1">
        <f t="array" aca="1" ref="T6" ca="1">+IFERROR(_xlfn.XLOOKUP($B6,INDIRECT("'[storico profut.xlsm]Consiglio_Week'!$B:$B"),INDIRECT("'[storico profut.xlsm]Consiglio_Week'!$M:$M")),"")</f>
        <v/>
      </c>
      <c r="U6" t="str" cm="1">
        <f t="array" aca="1" ref="U6" ca="1">+IFERROR(_xlfn.XLOOKUP($B6,INDIRECT("'[storico profut.xlsm]Consiglio_Week'!$B:$B"),INDIRECT("'[storico profut.xlsm]Consiglio_Week'!$P:$P")),"")</f>
        <v/>
      </c>
      <c r="V6" s="26" t="str" cm="1">
        <f t="array" aca="1" ref="V6" ca="1">IFERROR(
  _xlfn.XLOOKUP(
    $B6,
    INDIRECT("'[storico profut.xlsm]Consiglio_Week'!B:B"),
    OFFSET( INDIRECT("'[storico profut.xlsm]Consiglio_Week'!$R:$R"), 0, COLUMNS($A:A)-1 )
  ),
  ""
)</f>
        <v/>
      </c>
      <c r="W6" s="26" t="str" cm="1">
        <f t="array" aca="1" ref="W6" ca="1">IFERROR(
  _xlfn.XLOOKUP(
    $B6,
    INDIRECT("'[storico profut.xlsm]Consiglio_Week'!B:B"),
    OFFSET( INDIRECT("'[storico profut.xlsm]Consiglio_Week'!$R:$R"), 0, COLUMNS($A:B)-1 )
  ),
  ""
)</f>
        <v/>
      </c>
      <c r="X6" s="26" t="str" cm="1">
        <f t="array" aca="1" ref="X6" ca="1">IFERROR(
  _xlfn.XLOOKUP(
    $B6,
    INDIRECT("'[storico profut.xlsm]Consiglio_Week'!B:B"),
    OFFSET( INDIRECT("'[storico profut.xlsm]Consiglio_Week'!$R:$R"), 0, COLUMNS($A:C)-1 )
  ),
  ""
)</f>
        <v/>
      </c>
      <c r="Y6" s="26" t="str" cm="1">
        <f t="array" aca="1" ref="Y6" ca="1">IFERROR(
  _xlfn.XLOOKUP(
    $B6,
    INDIRECT("'[storico profut.xlsm]Consiglio_Week'!B:B"),
    OFFSET( INDIRECT("'[storico profut.xlsm]Consiglio_Week'!$R:$R"), 0, COLUMNS($A:D)-1 )
  ),
  ""
)</f>
        <v/>
      </c>
      <c r="Z6" s="26" t="str" cm="1">
        <f t="array" aca="1" ref="Z6" ca="1">IFERROR(
  _xlfn.XLOOKUP(
    $B6,
    INDIRECT("'[storico profut.xlsm]Consiglio_Week'!B:B"),
    OFFSET( INDIRECT("'[storico profut.xlsm]Consiglio_Week'!$R:$R"), 0, COLUMNS($A:E)-1 )
  ),
  ""
)</f>
        <v/>
      </c>
      <c r="AA6" s="27" t="str" cm="1">
        <f t="array" aca="1" ref="AA6" ca="1">IFERROR(
  _xlfn.XLOOKUP(
    $B6,
    INDIRECT("'[storico profut.xlsm]Consiglio_Week'!B:B"),
    OFFSET( INDIRECT("'[storico profut.xlsm]Consiglio_Week'!$R:$R"), 0, COLUMNS($A:F)-1 )
  ),
  ""
)</f>
        <v/>
      </c>
      <c r="AB6" s="26" t="str" cm="1">
        <f t="array" aca="1" ref="AB6" ca="1">IFERROR(
  _xlfn.XLOOKUP(
    $B6,
    INDIRECT("'[storico profut.xlsm]Consiglio_Week'!B:B"),
    OFFSET( INDIRECT("'[storico profut.xlsm]Consiglio_Week'!$R:$R"), 0, COLUMNS($A:G)-1 )
  ),
  ""
)</f>
        <v/>
      </c>
      <c r="AC6" s="26" t="str" cm="1">
        <f t="array" aca="1" ref="AC6" ca="1">IFERROR(
  _xlfn.XLOOKUP(
    $B6,
    INDIRECT("'[storico profut.xlsm]Consiglio_Week'!B:B"),
    OFFSET( INDIRECT("'[storico profut.xlsm]Consiglio_Week'!$R:$R"), 0, COLUMNS($A:H)-1 )
  ),
  ""
)</f>
        <v/>
      </c>
      <c r="AD6" s="26" t="str" cm="1">
        <f t="array" aca="1" ref="AD6" ca="1">IFERROR(
  _xlfn.XLOOKUP(
    $B6,
    INDIRECT("'[storico profut.xlsm]Consiglio_Week'!B:B"),
    OFFSET( INDIRECT("'[storico profut.xlsm]Consiglio_Week'!$R:$R"), 0, COLUMNS($A:I)-1 )
  ),
  ""
)</f>
        <v/>
      </c>
      <c r="AE6" s="20" t="s">
        <v>417</v>
      </c>
    </row>
    <row r="7" spans="1:31" ht="15.75" thickBot="1">
      <c r="A7" t="s">
        <v>154</v>
      </c>
      <c r="B7" t="s">
        <v>489</v>
      </c>
      <c r="C7">
        <v>8</v>
      </c>
      <c r="D7">
        <v>2</v>
      </c>
      <c r="E7" s="7">
        <v>0.33333333333333331</v>
      </c>
      <c r="F7" s="7">
        <v>0.83333333333333337</v>
      </c>
      <c r="G7" s="6"/>
      <c r="H7" s="6" t="s">
        <v>467</v>
      </c>
      <c r="R7" t="str" cm="1">
        <f t="array" aca="1" ref="R7" ca="1">+IFERROR(_xlfn.XLOOKUP($B7,INDIRECT("'[storico profut.xlsm]Consiglio_Week'!$B:$B"),INDIRECT("'[storico profut.xlsm]Consiglio_Week'!$I:$I")),"")</f>
        <v/>
      </c>
      <c r="S7" t="str" cm="1">
        <f t="array" aca="1" ref="S7" ca="1">+IFERROR(_xlfn.XLOOKUP($B7,INDIRECT("'[storico profut.xlsm]Consiglio_Week'!$B:$B"),INDIRECT("'[storico profut.xlsm]Consiglio_Week'!$L:$L")),"")</f>
        <v/>
      </c>
      <c r="T7" t="str" cm="1">
        <f t="array" aca="1" ref="T7" ca="1">+IFERROR(_xlfn.XLOOKUP($B7,INDIRECT("'[storico profut.xlsm]Consiglio_Week'!$B:$B"),INDIRECT("'[storico profut.xlsm]Consiglio_Week'!$M:$M")),"")</f>
        <v/>
      </c>
      <c r="U7" t="str" cm="1">
        <f t="array" aca="1" ref="U7" ca="1">+IFERROR(_xlfn.XLOOKUP($B7,INDIRECT("'[storico profut.xlsm]Consiglio_Week'!$B:$B"),INDIRECT("'[storico profut.xlsm]Consiglio_Week'!$P:$P")),"")</f>
        <v/>
      </c>
      <c r="V7" s="26" t="str" cm="1">
        <f t="array" aca="1" ref="V7" ca="1">IFERROR(
  _xlfn.XLOOKUP(
    $B7,
    INDIRECT("'[storico profut.xlsm]Consiglio_Week'!B:B"),
    OFFSET( INDIRECT("'[storico profut.xlsm]Consiglio_Week'!$R:$R"), 0, COLUMNS($A:A)-1 )
  ),
  ""
)</f>
        <v/>
      </c>
      <c r="W7" s="26" t="str" cm="1">
        <f t="array" aca="1" ref="W7" ca="1">IFERROR(
  _xlfn.XLOOKUP(
    $B7,
    INDIRECT("'[storico profut.xlsm]Consiglio_Week'!B:B"),
    OFFSET( INDIRECT("'[storico profut.xlsm]Consiglio_Week'!$R:$R"), 0, COLUMNS($A:B)-1 )
  ),
  ""
)</f>
        <v/>
      </c>
      <c r="X7" s="26" t="str" cm="1">
        <f t="array" aca="1" ref="X7" ca="1">IFERROR(
  _xlfn.XLOOKUP(
    $B7,
    INDIRECT("'[storico profut.xlsm]Consiglio_Week'!B:B"),
    OFFSET( INDIRECT("'[storico profut.xlsm]Consiglio_Week'!$R:$R"), 0, COLUMNS($A:C)-1 )
  ),
  ""
)</f>
        <v/>
      </c>
      <c r="Y7" s="26" t="str" cm="1">
        <f t="array" aca="1" ref="Y7" ca="1">IFERROR(
  _xlfn.XLOOKUP(
    $B7,
    INDIRECT("'[storico profut.xlsm]Consiglio_Week'!B:B"),
    OFFSET( INDIRECT("'[storico profut.xlsm]Consiglio_Week'!$R:$R"), 0, COLUMNS($A:D)-1 )
  ),
  ""
)</f>
        <v/>
      </c>
      <c r="Z7" s="26" t="str" cm="1">
        <f t="array" aca="1" ref="Z7" ca="1">IFERROR(
  _xlfn.XLOOKUP(
    $B7,
    INDIRECT("'[storico profut.xlsm]Consiglio_Week'!B:B"),
    OFFSET( INDIRECT("'[storico profut.xlsm]Consiglio_Week'!$R:$R"), 0, COLUMNS($A:E)-1 )
  ),
  ""
)</f>
        <v/>
      </c>
      <c r="AA7" s="27" t="str" cm="1">
        <f t="array" aca="1" ref="AA7" ca="1">IFERROR(
  _xlfn.XLOOKUP(
    $B7,
    INDIRECT("'[storico profut.xlsm]Consiglio_Week'!B:B"),
    OFFSET( INDIRECT("'[storico profut.xlsm]Consiglio_Week'!$R:$R"), 0, COLUMNS($A:F)-1 )
  ),
  ""
)</f>
        <v/>
      </c>
      <c r="AB7" s="26" t="str" cm="1">
        <f t="array" aca="1" ref="AB7" ca="1">IFERROR(
  _xlfn.XLOOKUP(
    $B7,
    INDIRECT("'[storico profut.xlsm]Consiglio_Week'!B:B"),
    OFFSET( INDIRECT("'[storico profut.xlsm]Consiglio_Week'!$R:$R"), 0, COLUMNS($A:G)-1 )
  ),
  ""
)</f>
        <v/>
      </c>
      <c r="AC7" s="26" t="str" cm="1">
        <f t="array" aca="1" ref="AC7" ca="1">IFERROR(
  _xlfn.XLOOKUP(
    $B7,
    INDIRECT("'[storico profut.xlsm]Consiglio_Week'!B:B"),
    OFFSET( INDIRECT("'[storico profut.xlsm]Consiglio_Week'!$R:$R"), 0, COLUMNS($A:H)-1 )
  ),
  ""
)</f>
        <v/>
      </c>
      <c r="AD7" s="26" t="str" cm="1">
        <f t="array" aca="1" ref="AD7" ca="1">IFERROR(
  _xlfn.XLOOKUP(
    $B7,
    INDIRECT("'[storico profut.xlsm]Consiglio_Week'!B:B"),
    OFFSET( INDIRECT("'[storico profut.xlsm]Consiglio_Week'!$R:$R"), 0, COLUMNS($A:I)-1 )
  ),
  ""
)</f>
        <v/>
      </c>
      <c r="AE7" s="20" t="s">
        <v>420</v>
      </c>
    </row>
    <row r="8" spans="1:31" ht="15.75" thickBot="1">
      <c r="A8" t="s">
        <v>437</v>
      </c>
      <c r="B8" t="s">
        <v>490</v>
      </c>
      <c r="C8">
        <v>8</v>
      </c>
      <c r="D8">
        <v>2</v>
      </c>
      <c r="E8" s="7">
        <v>0.33333333333333331</v>
      </c>
      <c r="F8" s="7">
        <v>0.83333333333333337</v>
      </c>
      <c r="G8" s="6"/>
      <c r="H8" s="6" t="s">
        <v>467</v>
      </c>
      <c r="R8" t="str" cm="1">
        <f t="array" aca="1" ref="R8" ca="1">+IFERROR(_xlfn.XLOOKUP($B8,INDIRECT("'[storico profut.xlsm]Consiglio_Week'!$B:$B"),INDIRECT("'[storico profut.xlsm]Consiglio_Week'!$I:$I")),"")</f>
        <v/>
      </c>
      <c r="S8" t="str" cm="1">
        <f t="array" aca="1" ref="S8" ca="1">+IFERROR(_xlfn.XLOOKUP($B8,INDIRECT("'[storico profut.xlsm]Consiglio_Week'!$B:$B"),INDIRECT("'[storico profut.xlsm]Consiglio_Week'!$L:$L")),"")</f>
        <v/>
      </c>
      <c r="T8" t="str" cm="1">
        <f t="array" aca="1" ref="T8" ca="1">+IFERROR(_xlfn.XLOOKUP($B8,INDIRECT("'[storico profut.xlsm]Consiglio_Week'!$B:$B"),INDIRECT("'[storico profut.xlsm]Consiglio_Week'!$M:$M")),"")</f>
        <v/>
      </c>
      <c r="U8" t="str" cm="1">
        <f t="array" aca="1" ref="U8" ca="1">+IFERROR(_xlfn.XLOOKUP($B8,INDIRECT("'[storico profut.xlsm]Consiglio_Week'!$B:$B"),INDIRECT("'[storico profut.xlsm]Consiglio_Week'!$P:$P")),"")</f>
        <v/>
      </c>
      <c r="V8" s="26" t="str" cm="1">
        <f t="array" aca="1" ref="V8" ca="1">IFERROR(
  _xlfn.XLOOKUP(
    $B8,
    INDIRECT("'[storico profut.xlsm]Consiglio_Week'!B:B"),
    OFFSET( INDIRECT("'[storico profut.xlsm]Consiglio_Week'!$R:$R"), 0, COLUMNS($A:A)-1 )
  ),
  ""
)</f>
        <v/>
      </c>
      <c r="W8" s="26" t="str" cm="1">
        <f t="array" aca="1" ref="W8" ca="1">IFERROR(
  _xlfn.XLOOKUP(
    $B8,
    INDIRECT("'[storico profut.xlsm]Consiglio_Week'!B:B"),
    OFFSET( INDIRECT("'[storico profut.xlsm]Consiglio_Week'!$R:$R"), 0, COLUMNS($A:B)-1 )
  ),
  ""
)</f>
        <v/>
      </c>
      <c r="X8" s="26" t="str" cm="1">
        <f t="array" aca="1" ref="X8" ca="1">IFERROR(
  _xlfn.XLOOKUP(
    $B8,
    INDIRECT("'[storico profut.xlsm]Consiglio_Week'!B:B"),
    OFFSET( INDIRECT("'[storico profut.xlsm]Consiglio_Week'!$R:$R"), 0, COLUMNS($A:C)-1 )
  ),
  ""
)</f>
        <v/>
      </c>
      <c r="Y8" s="26" t="str" cm="1">
        <f t="array" aca="1" ref="Y8" ca="1">IFERROR(
  _xlfn.XLOOKUP(
    $B8,
    INDIRECT("'[storico profut.xlsm]Consiglio_Week'!B:B"),
    OFFSET( INDIRECT("'[storico profut.xlsm]Consiglio_Week'!$R:$R"), 0, COLUMNS($A:D)-1 )
  ),
  ""
)</f>
        <v/>
      </c>
      <c r="Z8" s="26" t="str" cm="1">
        <f t="array" aca="1" ref="Z8" ca="1">IFERROR(
  _xlfn.XLOOKUP(
    $B8,
    INDIRECT("'[storico profut.xlsm]Consiglio_Week'!B:B"),
    OFFSET( INDIRECT("'[storico profut.xlsm]Consiglio_Week'!$R:$R"), 0, COLUMNS($A:E)-1 )
  ),
  ""
)</f>
        <v/>
      </c>
      <c r="AA8" s="27" t="str" cm="1">
        <f t="array" aca="1" ref="AA8" ca="1">IFERROR(
  _xlfn.XLOOKUP(
    $B8,
    INDIRECT("'[storico profut.xlsm]Consiglio_Week'!B:B"),
    OFFSET( INDIRECT("'[storico profut.xlsm]Consiglio_Week'!$R:$R"), 0, COLUMNS($A:F)-1 )
  ),
  ""
)</f>
        <v/>
      </c>
      <c r="AB8" s="26" t="str" cm="1">
        <f t="array" aca="1" ref="AB8" ca="1">IFERROR(
  _xlfn.XLOOKUP(
    $B8,
    INDIRECT("'[storico profut.xlsm]Consiglio_Week'!B:B"),
    OFFSET( INDIRECT("'[storico profut.xlsm]Consiglio_Week'!$R:$R"), 0, COLUMNS($A:G)-1 )
  ),
  ""
)</f>
        <v/>
      </c>
      <c r="AC8" s="26" t="str" cm="1">
        <f t="array" aca="1" ref="AC8" ca="1">IFERROR(
  _xlfn.XLOOKUP(
    $B8,
    INDIRECT("'[storico profut.xlsm]Consiglio_Week'!B:B"),
    OFFSET( INDIRECT("'[storico profut.xlsm]Consiglio_Week'!$R:$R"), 0, COLUMNS($A:H)-1 )
  ),
  ""
)</f>
        <v/>
      </c>
      <c r="AD8" s="26" t="str" cm="1">
        <f t="array" aca="1" ref="AD8" ca="1">IFERROR(
  _xlfn.XLOOKUP(
    $B8,
    INDIRECT("'[storico profut.xlsm]Consiglio_Week'!B:B"),
    OFFSET( INDIRECT("'[storico profut.xlsm]Consiglio_Week'!$R:$R"), 0, COLUMNS($A:I)-1 )
  ),
  ""
)</f>
        <v/>
      </c>
      <c r="AE8" s="20" t="s">
        <v>421</v>
      </c>
    </row>
    <row r="9" spans="1:31" ht="15.75" thickBot="1">
      <c r="A9" t="s">
        <v>155</v>
      </c>
      <c r="B9" t="s">
        <v>491</v>
      </c>
      <c r="C9">
        <v>4</v>
      </c>
      <c r="D9">
        <v>2</v>
      </c>
      <c r="E9" s="7">
        <v>0.58333333333333337</v>
      </c>
      <c r="F9" s="7">
        <v>0.83333333333333337</v>
      </c>
      <c r="G9" s="8"/>
      <c r="H9" s="6" t="s">
        <v>467</v>
      </c>
      <c r="R9" t="str" cm="1">
        <f t="array" aca="1" ref="R9" ca="1">+IFERROR(_xlfn.XLOOKUP($B9,INDIRECT("'[storico profut.xlsm]Consiglio_Week'!$B:$B"),INDIRECT("'[storico profut.xlsm]Consiglio_Week'!$I:$I")),"")</f>
        <v/>
      </c>
      <c r="S9" t="str" cm="1">
        <f t="array" aca="1" ref="S9" ca="1">+IFERROR(_xlfn.XLOOKUP($B9,INDIRECT("'[storico profut.xlsm]Consiglio_Week'!$B:$B"),INDIRECT("'[storico profut.xlsm]Consiglio_Week'!$L:$L")),"")</f>
        <v/>
      </c>
      <c r="T9" t="str" cm="1">
        <f t="array" aca="1" ref="T9" ca="1">+IFERROR(_xlfn.XLOOKUP($B9,INDIRECT("'[storico profut.xlsm]Consiglio_Week'!$B:$B"),INDIRECT("'[storico profut.xlsm]Consiglio_Week'!$M:$M")),"")</f>
        <v/>
      </c>
      <c r="U9" t="str" cm="1">
        <f t="array" aca="1" ref="U9" ca="1">+IFERROR(_xlfn.XLOOKUP($B9,INDIRECT("'[storico profut.xlsm]Consiglio_Week'!$B:$B"),INDIRECT("'[storico profut.xlsm]Consiglio_Week'!$P:$P")),"")</f>
        <v/>
      </c>
      <c r="V9" s="26" t="str" cm="1">
        <f t="array" aca="1" ref="V9" ca="1">IFERROR(
  _xlfn.XLOOKUP(
    $B9,
    INDIRECT("'[storico profut.xlsm]Consiglio_Week'!B:B"),
    OFFSET( INDIRECT("'[storico profut.xlsm]Consiglio_Week'!$R:$R"), 0, COLUMNS($A:A)-1 )
  ),
  ""
)</f>
        <v/>
      </c>
      <c r="W9" s="26" t="str" cm="1">
        <f t="array" aca="1" ref="W9" ca="1">IFERROR(
  _xlfn.XLOOKUP(
    $B9,
    INDIRECT("'[storico profut.xlsm]Consiglio_Week'!B:B"),
    OFFSET( INDIRECT("'[storico profut.xlsm]Consiglio_Week'!$R:$R"), 0, COLUMNS($A:B)-1 )
  ),
  ""
)</f>
        <v/>
      </c>
      <c r="X9" s="26" t="str" cm="1">
        <f t="array" aca="1" ref="X9" ca="1">IFERROR(
  _xlfn.XLOOKUP(
    $B9,
    INDIRECT("'[storico profut.xlsm]Consiglio_Week'!B:B"),
    OFFSET( INDIRECT("'[storico profut.xlsm]Consiglio_Week'!$R:$R"), 0, COLUMNS($A:C)-1 )
  ),
  ""
)</f>
        <v/>
      </c>
      <c r="Y9" s="26" t="str" cm="1">
        <f t="array" aca="1" ref="Y9" ca="1">IFERROR(
  _xlfn.XLOOKUP(
    $B9,
    INDIRECT("'[storico profut.xlsm]Consiglio_Week'!B:B"),
    OFFSET( INDIRECT("'[storico profut.xlsm]Consiglio_Week'!$R:$R"), 0, COLUMNS($A:D)-1 )
  ),
  ""
)</f>
        <v/>
      </c>
      <c r="Z9" s="26" t="str" cm="1">
        <f t="array" aca="1" ref="Z9" ca="1">IFERROR(
  _xlfn.XLOOKUP(
    $B9,
    INDIRECT("'[storico profut.xlsm]Consiglio_Week'!B:B"),
    OFFSET( INDIRECT("'[storico profut.xlsm]Consiglio_Week'!$R:$R"), 0, COLUMNS($A:E)-1 )
  ),
  ""
)</f>
        <v/>
      </c>
      <c r="AA9" s="27" t="str" cm="1">
        <f t="array" aca="1" ref="AA9" ca="1">IFERROR(
  _xlfn.XLOOKUP(
    $B9,
    INDIRECT("'[storico profut.xlsm]Consiglio_Week'!B:B"),
    OFFSET( INDIRECT("'[storico profut.xlsm]Consiglio_Week'!$R:$R"), 0, COLUMNS($A:F)-1 )
  ),
  ""
)</f>
        <v/>
      </c>
      <c r="AB9" s="26" t="str" cm="1">
        <f t="array" aca="1" ref="AB9" ca="1">IFERROR(
  _xlfn.XLOOKUP(
    $B9,
    INDIRECT("'[storico profut.xlsm]Consiglio_Week'!B:B"),
    OFFSET( INDIRECT("'[storico profut.xlsm]Consiglio_Week'!$R:$R"), 0, COLUMNS($A:G)-1 )
  ),
  ""
)</f>
        <v/>
      </c>
      <c r="AC9" s="26" t="str" cm="1">
        <f t="array" aca="1" ref="AC9" ca="1">IFERROR(
  _xlfn.XLOOKUP(
    $B9,
    INDIRECT("'[storico profut.xlsm]Consiglio_Week'!B:B"),
    OFFSET( INDIRECT("'[storico profut.xlsm]Consiglio_Week'!$R:$R"), 0, COLUMNS($A:H)-1 )
  ),
  ""
)</f>
        <v/>
      </c>
      <c r="AD9" s="26" t="str" cm="1">
        <f t="array" aca="1" ref="AD9" ca="1">IFERROR(
  _xlfn.XLOOKUP(
    $B9,
    INDIRECT("'[storico profut.xlsm]Consiglio_Week'!B:B"),
    OFFSET( INDIRECT("'[storico profut.xlsm]Consiglio_Week'!$R:$R"), 0, COLUMNS($A:I)-1 )
  ),
  ""
)</f>
        <v/>
      </c>
      <c r="AE9" s="20" t="s">
        <v>424</v>
      </c>
    </row>
    <row r="10" spans="1:31" ht="15.75" thickBot="1">
      <c r="A10" t="s">
        <v>438</v>
      </c>
      <c r="B10" t="s">
        <v>492</v>
      </c>
      <c r="C10">
        <v>4</v>
      </c>
      <c r="D10">
        <v>2</v>
      </c>
      <c r="E10" s="7">
        <v>0.58333333333333337</v>
      </c>
      <c r="F10" s="7">
        <v>0.83333333333333337</v>
      </c>
      <c r="G10" s="6"/>
      <c r="H10" s="6" t="s">
        <v>467</v>
      </c>
      <c r="R10" t="str" cm="1">
        <f t="array" aca="1" ref="R10" ca="1">+IFERROR(_xlfn.XLOOKUP($B10,INDIRECT("'[storico profut.xlsm]Consiglio_Week'!$B:$B"),INDIRECT("'[storico profut.xlsm]Consiglio_Week'!$I:$I")),"")</f>
        <v/>
      </c>
      <c r="S10" t="str" cm="1">
        <f t="array" aca="1" ref="S10" ca="1">+IFERROR(_xlfn.XLOOKUP($B10,INDIRECT("'[storico profut.xlsm]Consiglio_Week'!$B:$B"),INDIRECT("'[storico profut.xlsm]Consiglio_Week'!$L:$L")),"")</f>
        <v/>
      </c>
      <c r="T10" t="str" cm="1">
        <f t="array" aca="1" ref="T10" ca="1">+IFERROR(_xlfn.XLOOKUP($B10,INDIRECT("'[storico profut.xlsm]Consiglio_Week'!$B:$B"),INDIRECT("'[storico profut.xlsm]Consiglio_Week'!$M:$M")),"")</f>
        <v/>
      </c>
      <c r="U10" t="str" cm="1">
        <f t="array" aca="1" ref="U10" ca="1">+IFERROR(_xlfn.XLOOKUP($B10,INDIRECT("'[storico profut.xlsm]Consiglio_Week'!$B:$B"),INDIRECT("'[storico profut.xlsm]Consiglio_Week'!$P:$P")),"")</f>
        <v/>
      </c>
      <c r="V10" s="26" t="str" cm="1">
        <f t="array" aca="1" ref="V10" ca="1">IFERROR(
  _xlfn.XLOOKUP(
    $B10,
    INDIRECT("'[storico profut.xlsm]Consiglio_Week'!B:B"),
    OFFSET( INDIRECT("'[storico profut.xlsm]Consiglio_Week'!$R:$R"), 0, COLUMNS($A:A)-1 )
  ),
  ""
)</f>
        <v/>
      </c>
      <c r="W10" s="26" t="str" cm="1">
        <f t="array" aca="1" ref="W10" ca="1">IFERROR(
  _xlfn.XLOOKUP(
    $B10,
    INDIRECT("'[storico profut.xlsm]Consiglio_Week'!B:B"),
    OFFSET( INDIRECT("'[storico profut.xlsm]Consiglio_Week'!$R:$R"), 0, COLUMNS($A:B)-1 )
  ),
  ""
)</f>
        <v/>
      </c>
      <c r="X10" s="26" t="str" cm="1">
        <f t="array" aca="1" ref="X10" ca="1">IFERROR(
  _xlfn.XLOOKUP(
    $B10,
    INDIRECT("'[storico profut.xlsm]Consiglio_Week'!B:B"),
    OFFSET( INDIRECT("'[storico profut.xlsm]Consiglio_Week'!$R:$R"), 0, COLUMNS($A:C)-1 )
  ),
  ""
)</f>
        <v/>
      </c>
      <c r="Y10" s="26" t="str" cm="1">
        <f t="array" aca="1" ref="Y10" ca="1">IFERROR(
  _xlfn.XLOOKUP(
    $B10,
    INDIRECT("'[storico profut.xlsm]Consiglio_Week'!B:B"),
    OFFSET( INDIRECT("'[storico profut.xlsm]Consiglio_Week'!$R:$R"), 0, COLUMNS($A:D)-1 )
  ),
  ""
)</f>
        <v/>
      </c>
      <c r="Z10" s="26" t="str" cm="1">
        <f t="array" aca="1" ref="Z10" ca="1">IFERROR(
  _xlfn.XLOOKUP(
    $B10,
    INDIRECT("'[storico profut.xlsm]Consiglio_Week'!B:B"),
    OFFSET( INDIRECT("'[storico profut.xlsm]Consiglio_Week'!$R:$R"), 0, COLUMNS($A:E)-1 )
  ),
  ""
)</f>
        <v/>
      </c>
      <c r="AA10" s="27" t="str" cm="1">
        <f t="array" aca="1" ref="AA10" ca="1">IFERROR(
  _xlfn.XLOOKUP(
    $B10,
    INDIRECT("'[storico profut.xlsm]Consiglio_Week'!B:B"),
    OFFSET( INDIRECT("'[storico profut.xlsm]Consiglio_Week'!$R:$R"), 0, COLUMNS($A:F)-1 )
  ),
  ""
)</f>
        <v/>
      </c>
      <c r="AB10" s="26" t="str" cm="1">
        <f t="array" aca="1" ref="AB10" ca="1">IFERROR(
  _xlfn.XLOOKUP(
    $B10,
    INDIRECT("'[storico profut.xlsm]Consiglio_Week'!B:B"),
    OFFSET( INDIRECT("'[storico profut.xlsm]Consiglio_Week'!$R:$R"), 0, COLUMNS($A:G)-1 )
  ),
  ""
)</f>
        <v/>
      </c>
      <c r="AC10" s="26" t="str" cm="1">
        <f t="array" aca="1" ref="AC10" ca="1">IFERROR(
  _xlfn.XLOOKUP(
    $B10,
    INDIRECT("'[storico profut.xlsm]Consiglio_Week'!B:B"),
    OFFSET( INDIRECT("'[storico profut.xlsm]Consiglio_Week'!$R:$R"), 0, COLUMNS($A:H)-1 )
  ),
  ""
)</f>
        <v/>
      </c>
      <c r="AD10" s="26" t="str" cm="1">
        <f t="array" aca="1" ref="AD10" ca="1">IFERROR(
  _xlfn.XLOOKUP(
    $B10,
    INDIRECT("'[storico profut.xlsm]Consiglio_Week'!B:B"),
    OFFSET( INDIRECT("'[storico profut.xlsm]Consiglio_Week'!$R:$R"), 0, COLUMNS($A:I)-1 )
  ),
  ""
)</f>
        <v/>
      </c>
      <c r="AE10" s="20" t="s">
        <v>429</v>
      </c>
    </row>
    <row r="11" spans="1:31" ht="15.75" thickBot="1">
      <c r="A11" t="s">
        <v>439</v>
      </c>
      <c r="B11" t="s">
        <v>493</v>
      </c>
      <c r="C11">
        <v>4</v>
      </c>
      <c r="D11">
        <v>2</v>
      </c>
      <c r="E11" s="7">
        <v>0.58333333333333337</v>
      </c>
      <c r="F11" s="7">
        <v>0.83333333333333337</v>
      </c>
      <c r="G11" s="6"/>
      <c r="H11" s="6" t="s">
        <v>467</v>
      </c>
      <c r="R11" t="str" cm="1">
        <f t="array" aca="1" ref="R11" ca="1">+IFERROR(_xlfn.XLOOKUP($B11,INDIRECT("'[storico profut.xlsm]Consiglio_Week'!$B:$B"),INDIRECT("'[storico profut.xlsm]Consiglio_Week'!$I:$I")),"")</f>
        <v/>
      </c>
      <c r="S11" t="str" cm="1">
        <f t="array" aca="1" ref="S11" ca="1">+IFERROR(_xlfn.XLOOKUP($B11,INDIRECT("'[storico profut.xlsm]Consiglio_Week'!$B:$B"),INDIRECT("'[storico profut.xlsm]Consiglio_Week'!$L:$L")),"")</f>
        <v/>
      </c>
      <c r="T11" t="str" cm="1">
        <f t="array" aca="1" ref="T11" ca="1">+IFERROR(_xlfn.XLOOKUP($B11,INDIRECT("'[storico profut.xlsm]Consiglio_Week'!$B:$B"),INDIRECT("'[storico profut.xlsm]Consiglio_Week'!$M:$M")),"")</f>
        <v/>
      </c>
      <c r="U11" t="str" cm="1">
        <f t="array" aca="1" ref="U11" ca="1">+IFERROR(_xlfn.XLOOKUP($B11,INDIRECT("'[storico profut.xlsm]Consiglio_Week'!$B:$B"),INDIRECT("'[storico profut.xlsm]Consiglio_Week'!$P:$P")),"")</f>
        <v/>
      </c>
      <c r="V11" s="26" t="str" cm="1">
        <f t="array" aca="1" ref="V11" ca="1">IFERROR(
  _xlfn.XLOOKUP(
    $B11,
    INDIRECT("'[storico profut.xlsm]Consiglio_Week'!B:B"),
    OFFSET( INDIRECT("'[storico profut.xlsm]Consiglio_Week'!$R:$R"), 0, COLUMNS($A:A)-1 )
  ),
  ""
)</f>
        <v/>
      </c>
      <c r="W11" s="26" t="str" cm="1">
        <f t="array" aca="1" ref="W11" ca="1">IFERROR(
  _xlfn.XLOOKUP(
    $B11,
    INDIRECT("'[storico profut.xlsm]Consiglio_Week'!B:B"),
    OFFSET( INDIRECT("'[storico profut.xlsm]Consiglio_Week'!$R:$R"), 0, COLUMNS($A:B)-1 )
  ),
  ""
)</f>
        <v/>
      </c>
      <c r="X11" s="26" t="str" cm="1">
        <f t="array" aca="1" ref="X11" ca="1">IFERROR(
  _xlfn.XLOOKUP(
    $B11,
    INDIRECT("'[storico profut.xlsm]Consiglio_Week'!B:B"),
    OFFSET( INDIRECT("'[storico profut.xlsm]Consiglio_Week'!$R:$R"), 0, COLUMNS($A:C)-1 )
  ),
  ""
)</f>
        <v/>
      </c>
      <c r="Y11" s="26" t="str" cm="1">
        <f t="array" aca="1" ref="Y11" ca="1">IFERROR(
  _xlfn.XLOOKUP(
    $B11,
    INDIRECT("'[storico profut.xlsm]Consiglio_Week'!B:B"),
    OFFSET( INDIRECT("'[storico profut.xlsm]Consiglio_Week'!$R:$R"), 0, COLUMNS($A:D)-1 )
  ),
  ""
)</f>
        <v/>
      </c>
      <c r="Z11" s="26" t="str" cm="1">
        <f t="array" aca="1" ref="Z11" ca="1">IFERROR(
  _xlfn.XLOOKUP(
    $B11,
    INDIRECT("'[storico profut.xlsm]Consiglio_Week'!B:B"),
    OFFSET( INDIRECT("'[storico profut.xlsm]Consiglio_Week'!$R:$R"), 0, COLUMNS($A:E)-1 )
  ),
  ""
)</f>
        <v/>
      </c>
      <c r="AA11" s="27" t="str" cm="1">
        <f t="array" aca="1" ref="AA11" ca="1">IFERROR(
  _xlfn.XLOOKUP(
    $B11,
    INDIRECT("'[storico profut.xlsm]Consiglio_Week'!B:B"),
    OFFSET( INDIRECT("'[storico profut.xlsm]Consiglio_Week'!$R:$R"), 0, COLUMNS($A:F)-1 )
  ),
  ""
)</f>
        <v/>
      </c>
      <c r="AB11" s="26" t="str" cm="1">
        <f t="array" aca="1" ref="AB11" ca="1">IFERROR(
  _xlfn.XLOOKUP(
    $B11,
    INDIRECT("'[storico profut.xlsm]Consiglio_Week'!B:B"),
    OFFSET( INDIRECT("'[storico profut.xlsm]Consiglio_Week'!$R:$R"), 0, COLUMNS($A:G)-1 )
  ),
  ""
)</f>
        <v/>
      </c>
      <c r="AC11" s="26" t="str" cm="1">
        <f t="array" aca="1" ref="AC11" ca="1">IFERROR(
  _xlfn.XLOOKUP(
    $B11,
    INDIRECT("'[storico profut.xlsm]Consiglio_Week'!B:B"),
    OFFSET( INDIRECT("'[storico profut.xlsm]Consiglio_Week'!$R:$R"), 0, COLUMNS($A:H)-1 )
  ),
  ""
)</f>
        <v/>
      </c>
      <c r="AD11" s="26" t="str" cm="1">
        <f t="array" aca="1" ref="AD11" ca="1">IFERROR(
  _xlfn.XLOOKUP(
    $B11,
    INDIRECT("'[storico profut.xlsm]Consiglio_Week'!B:B"),
    OFFSET( INDIRECT("'[storico profut.xlsm]Consiglio_Week'!$R:$R"), 0, COLUMNS($A:I)-1 )
  ),
  ""
)</f>
        <v/>
      </c>
      <c r="AE11" s="21" t="s">
        <v>428</v>
      </c>
    </row>
    <row r="12" spans="1:31" ht="15.75" thickBot="1">
      <c r="A12" t="s">
        <v>440</v>
      </c>
      <c r="B12" t="s">
        <v>494</v>
      </c>
      <c r="C12">
        <v>4</v>
      </c>
      <c r="D12">
        <v>2</v>
      </c>
      <c r="E12" s="7">
        <v>0.58333333333333337</v>
      </c>
      <c r="F12" s="7">
        <v>0.83333333333333337</v>
      </c>
      <c r="G12" s="6"/>
      <c r="H12" s="6" t="s">
        <v>467</v>
      </c>
      <c r="R12" t="str" cm="1">
        <f t="array" aca="1" ref="R12" ca="1">+IFERROR(_xlfn.XLOOKUP($B12,INDIRECT("'[storico profut.xlsm]Consiglio_Week'!$B:$B"),INDIRECT("'[storico profut.xlsm]Consiglio_Week'!$I:$I")),"")</f>
        <v/>
      </c>
      <c r="S12" t="str" cm="1">
        <f t="array" aca="1" ref="S12" ca="1">+IFERROR(_xlfn.XLOOKUP($B12,INDIRECT("'[storico profut.xlsm]Consiglio_Week'!$B:$B"),INDIRECT("'[storico profut.xlsm]Consiglio_Week'!$L:$L")),"")</f>
        <v/>
      </c>
      <c r="T12" t="str" cm="1">
        <f t="array" aca="1" ref="T12" ca="1">+IFERROR(_xlfn.XLOOKUP($B12,INDIRECT("'[storico profut.xlsm]Consiglio_Week'!$B:$B"),INDIRECT("'[storico profut.xlsm]Consiglio_Week'!$M:$M")),"")</f>
        <v/>
      </c>
      <c r="U12" t="str" cm="1">
        <f t="array" aca="1" ref="U12" ca="1">+IFERROR(_xlfn.XLOOKUP($B12,INDIRECT("'[storico profut.xlsm]Consiglio_Week'!$B:$B"),INDIRECT("'[storico profut.xlsm]Consiglio_Week'!$P:$P")),"")</f>
        <v/>
      </c>
      <c r="V12" s="26" t="str" cm="1">
        <f t="array" aca="1" ref="V12" ca="1">IFERROR(
  _xlfn.XLOOKUP(
    $B12,
    INDIRECT("'[storico profut.xlsm]Consiglio_Week'!B:B"),
    OFFSET( INDIRECT("'[storico profut.xlsm]Consiglio_Week'!$R:$R"), 0, COLUMNS($A:A)-1 )
  ),
  ""
)</f>
        <v/>
      </c>
      <c r="W12" s="26" t="str" cm="1">
        <f t="array" aca="1" ref="W12" ca="1">IFERROR(
  _xlfn.XLOOKUP(
    $B12,
    INDIRECT("'[storico profut.xlsm]Consiglio_Week'!B:B"),
    OFFSET( INDIRECT("'[storico profut.xlsm]Consiglio_Week'!$R:$R"), 0, COLUMNS($A:B)-1 )
  ),
  ""
)</f>
        <v/>
      </c>
      <c r="X12" s="26" t="str" cm="1">
        <f t="array" aca="1" ref="X12" ca="1">IFERROR(
  _xlfn.XLOOKUP(
    $B12,
    INDIRECT("'[storico profut.xlsm]Consiglio_Week'!B:B"),
    OFFSET( INDIRECT("'[storico profut.xlsm]Consiglio_Week'!$R:$R"), 0, COLUMNS($A:C)-1 )
  ),
  ""
)</f>
        <v/>
      </c>
      <c r="Y12" s="26" t="str" cm="1">
        <f t="array" aca="1" ref="Y12" ca="1">IFERROR(
  _xlfn.XLOOKUP(
    $B12,
    INDIRECT("'[storico profut.xlsm]Consiglio_Week'!B:B"),
    OFFSET( INDIRECT("'[storico profut.xlsm]Consiglio_Week'!$R:$R"), 0, COLUMNS($A:D)-1 )
  ),
  ""
)</f>
        <v/>
      </c>
      <c r="Z12" s="26" t="str" cm="1">
        <f t="array" aca="1" ref="Z12" ca="1">IFERROR(
  _xlfn.XLOOKUP(
    $B12,
    INDIRECT("'[storico profut.xlsm]Consiglio_Week'!B:B"),
    OFFSET( INDIRECT("'[storico profut.xlsm]Consiglio_Week'!$R:$R"), 0, COLUMNS($A:E)-1 )
  ),
  ""
)</f>
        <v/>
      </c>
      <c r="AA12" s="27" t="str" cm="1">
        <f t="array" aca="1" ref="AA12" ca="1">IFERROR(
  _xlfn.XLOOKUP(
    $B12,
    INDIRECT("'[storico profut.xlsm]Consiglio_Week'!B:B"),
    OFFSET( INDIRECT("'[storico profut.xlsm]Consiglio_Week'!$R:$R"), 0, COLUMNS($A:F)-1 )
  ),
  ""
)</f>
        <v/>
      </c>
      <c r="AB12" s="26" t="str" cm="1">
        <f t="array" aca="1" ref="AB12" ca="1">IFERROR(
  _xlfn.XLOOKUP(
    $B12,
    INDIRECT("'[storico profut.xlsm]Consiglio_Week'!B:B"),
    OFFSET( INDIRECT("'[storico profut.xlsm]Consiglio_Week'!$R:$R"), 0, COLUMNS($A:G)-1 )
  ),
  ""
)</f>
        <v/>
      </c>
      <c r="AC12" s="26" t="str" cm="1">
        <f t="array" aca="1" ref="AC12" ca="1">IFERROR(
  _xlfn.XLOOKUP(
    $B12,
    INDIRECT("'[storico profut.xlsm]Consiglio_Week'!B:B"),
    OFFSET( INDIRECT("'[storico profut.xlsm]Consiglio_Week'!$R:$R"), 0, COLUMNS($A:H)-1 )
  ),
  ""
)</f>
        <v/>
      </c>
      <c r="AD12" s="26" t="str" cm="1">
        <f t="array" aca="1" ref="AD12" ca="1">IFERROR(
  _xlfn.XLOOKUP(
    $B12,
    INDIRECT("'[storico profut.xlsm]Consiglio_Week'!B:B"),
    OFFSET( INDIRECT("'[storico profut.xlsm]Consiglio_Week'!$R:$R"), 0, COLUMNS($A:I)-1 )
  ),
  ""
)</f>
        <v/>
      </c>
      <c r="AE12" s="21" t="s">
        <v>422</v>
      </c>
    </row>
    <row r="13" spans="1:31" ht="15.75" thickBot="1">
      <c r="A13" t="s">
        <v>441</v>
      </c>
      <c r="B13" t="s">
        <v>495</v>
      </c>
      <c r="C13">
        <v>4</v>
      </c>
      <c r="D13">
        <v>2</v>
      </c>
      <c r="E13" s="7">
        <v>0.58333333333333337</v>
      </c>
      <c r="F13" s="7">
        <v>0.83333333333333337</v>
      </c>
      <c r="G13" s="6"/>
      <c r="H13" s="6" t="s">
        <v>467</v>
      </c>
      <c r="R13" t="str" cm="1">
        <f t="array" aca="1" ref="R13" ca="1">+IFERROR(_xlfn.XLOOKUP($B13,INDIRECT("'[storico profut.xlsm]Consiglio_Week'!$B:$B"),INDIRECT("'[storico profut.xlsm]Consiglio_Week'!$I:$I")),"")</f>
        <v/>
      </c>
      <c r="S13" t="str" cm="1">
        <f t="array" aca="1" ref="S13" ca="1">+IFERROR(_xlfn.XLOOKUP($B13,INDIRECT("'[storico profut.xlsm]Consiglio_Week'!$B:$B"),INDIRECT("'[storico profut.xlsm]Consiglio_Week'!$L:$L")),"")</f>
        <v/>
      </c>
      <c r="T13" t="str" cm="1">
        <f t="array" aca="1" ref="T13" ca="1">+IFERROR(_xlfn.XLOOKUP($B13,INDIRECT("'[storico profut.xlsm]Consiglio_Week'!$B:$B"),INDIRECT("'[storico profut.xlsm]Consiglio_Week'!$M:$M")),"")</f>
        <v/>
      </c>
      <c r="U13" t="str" cm="1">
        <f t="array" aca="1" ref="U13" ca="1">+IFERROR(_xlfn.XLOOKUP($B13,INDIRECT("'[storico profut.xlsm]Consiglio_Week'!$B:$B"),INDIRECT("'[storico profut.xlsm]Consiglio_Week'!$P:$P")),"")</f>
        <v/>
      </c>
      <c r="V13" s="26" t="str" cm="1">
        <f t="array" aca="1" ref="V13" ca="1">IFERROR(
  _xlfn.XLOOKUP(
    $B13,
    INDIRECT("'[storico profut.xlsm]Consiglio_Week'!B:B"),
    OFFSET( INDIRECT("'[storico profut.xlsm]Consiglio_Week'!$R:$R"), 0, COLUMNS($A:A)-1 )
  ),
  ""
)</f>
        <v/>
      </c>
      <c r="W13" s="26" t="str" cm="1">
        <f t="array" aca="1" ref="W13" ca="1">IFERROR(
  _xlfn.XLOOKUP(
    $B13,
    INDIRECT("'[storico profut.xlsm]Consiglio_Week'!B:B"),
    OFFSET( INDIRECT("'[storico profut.xlsm]Consiglio_Week'!$R:$R"), 0, COLUMNS($A:B)-1 )
  ),
  ""
)</f>
        <v/>
      </c>
      <c r="X13" s="26" t="str" cm="1">
        <f t="array" aca="1" ref="X13" ca="1">IFERROR(
  _xlfn.XLOOKUP(
    $B13,
    INDIRECT("'[storico profut.xlsm]Consiglio_Week'!B:B"),
    OFFSET( INDIRECT("'[storico profut.xlsm]Consiglio_Week'!$R:$R"), 0, COLUMNS($A:C)-1 )
  ),
  ""
)</f>
        <v/>
      </c>
      <c r="Y13" s="26" t="str" cm="1">
        <f t="array" aca="1" ref="Y13" ca="1">IFERROR(
  _xlfn.XLOOKUP(
    $B13,
    INDIRECT("'[storico profut.xlsm]Consiglio_Week'!B:B"),
    OFFSET( INDIRECT("'[storico profut.xlsm]Consiglio_Week'!$R:$R"), 0, COLUMNS($A:D)-1 )
  ),
  ""
)</f>
        <v/>
      </c>
      <c r="Z13" s="26" t="str" cm="1">
        <f t="array" aca="1" ref="Z13" ca="1">IFERROR(
  _xlfn.XLOOKUP(
    $B13,
    INDIRECT("'[storico profut.xlsm]Consiglio_Week'!B:B"),
    OFFSET( INDIRECT("'[storico profut.xlsm]Consiglio_Week'!$R:$R"), 0, COLUMNS($A:E)-1 )
  ),
  ""
)</f>
        <v/>
      </c>
      <c r="AA13" s="27" t="str" cm="1">
        <f t="array" aca="1" ref="AA13" ca="1">IFERROR(
  _xlfn.XLOOKUP(
    $B13,
    INDIRECT("'[storico profut.xlsm]Consiglio_Week'!B:B"),
    OFFSET( INDIRECT("'[storico profut.xlsm]Consiglio_Week'!$R:$R"), 0, COLUMNS($A:F)-1 )
  ),
  ""
)</f>
        <v/>
      </c>
      <c r="AB13" s="26" t="str" cm="1">
        <f t="array" aca="1" ref="AB13" ca="1">IFERROR(
  _xlfn.XLOOKUP(
    $B13,
    INDIRECT("'[storico profut.xlsm]Consiglio_Week'!B:B"),
    OFFSET( INDIRECT("'[storico profut.xlsm]Consiglio_Week'!$R:$R"), 0, COLUMNS($A:G)-1 )
  ),
  ""
)</f>
        <v/>
      </c>
      <c r="AC13" s="26" t="str" cm="1">
        <f t="array" aca="1" ref="AC13" ca="1">IFERROR(
  _xlfn.XLOOKUP(
    $B13,
    INDIRECT("'[storico profut.xlsm]Consiglio_Week'!B:B"),
    OFFSET( INDIRECT("'[storico profut.xlsm]Consiglio_Week'!$R:$R"), 0, COLUMNS($A:H)-1 )
  ),
  ""
)</f>
        <v/>
      </c>
      <c r="AD13" s="26" t="str" cm="1">
        <f t="array" aca="1" ref="AD13" ca="1">IFERROR(
  _xlfn.XLOOKUP(
    $B13,
    INDIRECT("'[storico profut.xlsm]Consiglio_Week'!B:B"),
    OFFSET( INDIRECT("'[storico profut.xlsm]Consiglio_Week'!$R:$R"), 0, COLUMNS($A:I)-1 )
  ),
  ""
)</f>
        <v/>
      </c>
      <c r="AE13" s="21" t="s">
        <v>426</v>
      </c>
    </row>
    <row r="14" spans="1:31" ht="15.75" thickBot="1">
      <c r="A14" t="s">
        <v>156</v>
      </c>
      <c r="B14" t="s">
        <v>496</v>
      </c>
      <c r="C14">
        <v>4</v>
      </c>
      <c r="D14">
        <v>2</v>
      </c>
      <c r="E14" s="7">
        <v>0.33333333333333331</v>
      </c>
      <c r="F14" s="7">
        <v>0.58333333333333337</v>
      </c>
      <c r="G14" s="6"/>
      <c r="H14" s="6" t="s">
        <v>467</v>
      </c>
      <c r="R14" t="str" cm="1">
        <f t="array" aca="1" ref="R14" ca="1">+IFERROR(_xlfn.XLOOKUP($B14,INDIRECT("'[storico profut.xlsm]Consiglio_Week'!$B:$B"),INDIRECT("'[storico profut.xlsm]Consiglio_Week'!$I:$I")),"")</f>
        <v/>
      </c>
      <c r="S14" t="str" cm="1">
        <f t="array" aca="1" ref="S14" ca="1">+IFERROR(_xlfn.XLOOKUP($B14,INDIRECT("'[storico profut.xlsm]Consiglio_Week'!$B:$B"),INDIRECT("'[storico profut.xlsm]Consiglio_Week'!$L:$L")),"")</f>
        <v/>
      </c>
      <c r="T14" t="str" cm="1">
        <f t="array" aca="1" ref="T14" ca="1">+IFERROR(_xlfn.XLOOKUP($B14,INDIRECT("'[storico profut.xlsm]Consiglio_Week'!$B:$B"),INDIRECT("'[storico profut.xlsm]Consiglio_Week'!$M:$M")),"")</f>
        <v/>
      </c>
      <c r="U14" t="str" cm="1">
        <f t="array" aca="1" ref="U14" ca="1">+IFERROR(_xlfn.XLOOKUP($B14,INDIRECT("'[storico profut.xlsm]Consiglio_Week'!$B:$B"),INDIRECT("'[storico profut.xlsm]Consiglio_Week'!$P:$P")),"")</f>
        <v/>
      </c>
      <c r="V14" s="26" t="str" cm="1">
        <f t="array" aca="1" ref="V14" ca="1">IFERROR(
  _xlfn.XLOOKUP(
    $B14,
    INDIRECT("'[storico profut.xlsm]Consiglio_Week'!B:B"),
    OFFSET( INDIRECT("'[storico profut.xlsm]Consiglio_Week'!$R:$R"), 0, COLUMNS($A:A)-1 )
  ),
  ""
)</f>
        <v/>
      </c>
      <c r="W14" s="26" t="str" cm="1">
        <f t="array" aca="1" ref="W14" ca="1">IFERROR(
  _xlfn.XLOOKUP(
    $B14,
    INDIRECT("'[storico profut.xlsm]Consiglio_Week'!B:B"),
    OFFSET( INDIRECT("'[storico profut.xlsm]Consiglio_Week'!$R:$R"), 0, COLUMNS($A:B)-1 )
  ),
  ""
)</f>
        <v/>
      </c>
      <c r="X14" s="26" t="str" cm="1">
        <f t="array" aca="1" ref="X14" ca="1">IFERROR(
  _xlfn.XLOOKUP(
    $B14,
    INDIRECT("'[storico profut.xlsm]Consiglio_Week'!B:B"),
    OFFSET( INDIRECT("'[storico profut.xlsm]Consiglio_Week'!$R:$R"), 0, COLUMNS($A:C)-1 )
  ),
  ""
)</f>
        <v/>
      </c>
      <c r="Y14" s="26" t="str" cm="1">
        <f t="array" aca="1" ref="Y14" ca="1">IFERROR(
  _xlfn.XLOOKUP(
    $B14,
    INDIRECT("'[storico profut.xlsm]Consiglio_Week'!B:B"),
    OFFSET( INDIRECT("'[storico profut.xlsm]Consiglio_Week'!$R:$R"), 0, COLUMNS($A:D)-1 )
  ),
  ""
)</f>
        <v/>
      </c>
      <c r="Z14" s="26" t="str" cm="1">
        <f t="array" aca="1" ref="Z14" ca="1">IFERROR(
  _xlfn.XLOOKUP(
    $B14,
    INDIRECT("'[storico profut.xlsm]Consiglio_Week'!B:B"),
    OFFSET( INDIRECT("'[storico profut.xlsm]Consiglio_Week'!$R:$R"), 0, COLUMNS($A:E)-1 )
  ),
  ""
)</f>
        <v/>
      </c>
      <c r="AA14" s="27" t="str" cm="1">
        <f t="array" aca="1" ref="AA14" ca="1">IFERROR(
  _xlfn.XLOOKUP(
    $B14,
    INDIRECT("'[storico profut.xlsm]Consiglio_Week'!B:B"),
    OFFSET( INDIRECT("'[storico profut.xlsm]Consiglio_Week'!$R:$R"), 0, COLUMNS($A:F)-1 )
  ),
  ""
)</f>
        <v/>
      </c>
      <c r="AB14" s="26" t="str" cm="1">
        <f t="array" aca="1" ref="AB14" ca="1">IFERROR(
  _xlfn.XLOOKUP(
    $B14,
    INDIRECT("'[storico profut.xlsm]Consiglio_Week'!B:B"),
    OFFSET( INDIRECT("'[storico profut.xlsm]Consiglio_Week'!$R:$R"), 0, COLUMNS($A:G)-1 )
  ),
  ""
)</f>
        <v/>
      </c>
      <c r="AC14" s="26" t="str" cm="1">
        <f t="array" aca="1" ref="AC14" ca="1">IFERROR(
  _xlfn.XLOOKUP(
    $B14,
    INDIRECT("'[storico profut.xlsm]Consiglio_Week'!B:B"),
    OFFSET( INDIRECT("'[storico profut.xlsm]Consiglio_Week'!$R:$R"), 0, COLUMNS($A:H)-1 )
  ),
  ""
)</f>
        <v/>
      </c>
      <c r="AD14" s="26" t="str" cm="1">
        <f t="array" aca="1" ref="AD14" ca="1">IFERROR(
  _xlfn.XLOOKUP(
    $B14,
    INDIRECT("'[storico profut.xlsm]Consiglio_Week'!B:B"),
    OFFSET( INDIRECT("'[storico profut.xlsm]Consiglio_Week'!$R:$R"), 0, COLUMNS($A:I)-1 )
  ),
  ""
)</f>
        <v/>
      </c>
      <c r="AE14" s="21" t="s">
        <v>454</v>
      </c>
    </row>
    <row r="15" spans="1:31" ht="15.75" thickBot="1">
      <c r="A15" t="s">
        <v>157</v>
      </c>
      <c r="B15" t="s">
        <v>497</v>
      </c>
      <c r="C15">
        <v>4</v>
      </c>
      <c r="D15">
        <v>2</v>
      </c>
      <c r="E15" s="7">
        <v>0.33333333333333331</v>
      </c>
      <c r="F15" s="7">
        <v>0.58333333333333337</v>
      </c>
      <c r="G15" s="6"/>
      <c r="H15" s="8" t="s">
        <v>467</v>
      </c>
      <c r="R15" t="str" cm="1">
        <f t="array" aca="1" ref="R15" ca="1">+IFERROR(_xlfn.XLOOKUP($B15,INDIRECT("'[storico profut.xlsm]Consiglio_Week'!$B:$B"),INDIRECT("'[storico profut.xlsm]Consiglio_Week'!$I:$I")),"")</f>
        <v/>
      </c>
      <c r="S15" t="str" cm="1">
        <f t="array" aca="1" ref="S15" ca="1">+IFERROR(_xlfn.XLOOKUP($B15,INDIRECT("'[storico profut.xlsm]Consiglio_Week'!$B:$B"),INDIRECT("'[storico profut.xlsm]Consiglio_Week'!$L:$L")),"")</f>
        <v/>
      </c>
      <c r="T15" t="str" cm="1">
        <f t="array" aca="1" ref="T15" ca="1">+IFERROR(_xlfn.XLOOKUP($B15,INDIRECT("'[storico profut.xlsm]Consiglio_Week'!$B:$B"),INDIRECT("'[storico profut.xlsm]Consiglio_Week'!$M:$M")),"")</f>
        <v/>
      </c>
      <c r="U15" t="str" cm="1">
        <f t="array" aca="1" ref="U15" ca="1">+IFERROR(_xlfn.XLOOKUP($B15,INDIRECT("'[storico profut.xlsm]Consiglio_Week'!$B:$B"),INDIRECT("'[storico profut.xlsm]Consiglio_Week'!$P:$P")),"")</f>
        <v/>
      </c>
      <c r="V15" s="26" t="str" cm="1">
        <f t="array" aca="1" ref="V15" ca="1">IFERROR(
  _xlfn.XLOOKUP(
    $B15,
    INDIRECT("'[storico profut.xlsm]Consiglio_Week'!B:B"),
    OFFSET( INDIRECT("'[storico profut.xlsm]Consiglio_Week'!$R:$R"), 0, COLUMNS($A:A)-1 )
  ),
  ""
)</f>
        <v/>
      </c>
      <c r="W15" s="26" t="str" cm="1">
        <f t="array" aca="1" ref="W15" ca="1">IFERROR(
  _xlfn.XLOOKUP(
    $B15,
    INDIRECT("'[storico profut.xlsm]Consiglio_Week'!B:B"),
    OFFSET( INDIRECT("'[storico profut.xlsm]Consiglio_Week'!$R:$R"), 0, COLUMNS($A:B)-1 )
  ),
  ""
)</f>
        <v/>
      </c>
      <c r="X15" s="26" t="str" cm="1">
        <f t="array" aca="1" ref="X15" ca="1">IFERROR(
  _xlfn.XLOOKUP(
    $B15,
    INDIRECT("'[storico profut.xlsm]Consiglio_Week'!B:B"),
    OFFSET( INDIRECT("'[storico profut.xlsm]Consiglio_Week'!$R:$R"), 0, COLUMNS($A:C)-1 )
  ),
  ""
)</f>
        <v/>
      </c>
      <c r="Y15" s="26" t="str" cm="1">
        <f t="array" aca="1" ref="Y15" ca="1">IFERROR(
  _xlfn.XLOOKUP(
    $B15,
    INDIRECT("'[storico profut.xlsm]Consiglio_Week'!B:B"),
    OFFSET( INDIRECT("'[storico profut.xlsm]Consiglio_Week'!$R:$R"), 0, COLUMNS($A:D)-1 )
  ),
  ""
)</f>
        <v/>
      </c>
      <c r="Z15" s="26" t="str" cm="1">
        <f t="array" aca="1" ref="Z15" ca="1">IFERROR(
  _xlfn.XLOOKUP(
    $B15,
    INDIRECT("'[storico profut.xlsm]Consiglio_Week'!B:B"),
    OFFSET( INDIRECT("'[storico profut.xlsm]Consiglio_Week'!$R:$R"), 0, COLUMNS($A:E)-1 )
  ),
  ""
)</f>
        <v/>
      </c>
      <c r="AA15" s="27" t="str" cm="1">
        <f t="array" aca="1" ref="AA15" ca="1">IFERROR(
  _xlfn.XLOOKUP(
    $B15,
    INDIRECT("'[storico profut.xlsm]Consiglio_Week'!B:B"),
    OFFSET( INDIRECT("'[storico profut.xlsm]Consiglio_Week'!$R:$R"), 0, COLUMNS($A:F)-1 )
  ),
  ""
)</f>
        <v/>
      </c>
      <c r="AB15" s="26" t="str" cm="1">
        <f t="array" aca="1" ref="AB15" ca="1">IFERROR(
  _xlfn.XLOOKUP(
    $B15,
    INDIRECT("'[storico profut.xlsm]Consiglio_Week'!B:B"),
    OFFSET( INDIRECT("'[storico profut.xlsm]Consiglio_Week'!$R:$R"), 0, COLUMNS($A:G)-1 )
  ),
  ""
)</f>
        <v/>
      </c>
      <c r="AC15" s="26" t="str" cm="1">
        <f t="array" aca="1" ref="AC15" ca="1">IFERROR(
  _xlfn.XLOOKUP(
    $B15,
    INDIRECT("'[storico profut.xlsm]Consiglio_Week'!B:B"),
    OFFSET( INDIRECT("'[storico profut.xlsm]Consiglio_Week'!$R:$R"), 0, COLUMNS($A:H)-1 )
  ),
  ""
)</f>
        <v/>
      </c>
      <c r="AD15" s="26" t="str" cm="1">
        <f t="array" aca="1" ref="AD15" ca="1">IFERROR(
  _xlfn.XLOOKUP(
    $B15,
    INDIRECT("'[storico profut.xlsm]Consiglio_Week'!B:B"),
    OFFSET( INDIRECT("'[storico profut.xlsm]Consiglio_Week'!$R:$R"), 0, COLUMNS($A:I)-1 )
  ),
  ""
)</f>
        <v/>
      </c>
      <c r="AE15" s="21" t="s">
        <v>425</v>
      </c>
    </row>
    <row r="16" spans="1:31">
      <c r="A16" t="s">
        <v>442</v>
      </c>
      <c r="B16" t="s">
        <v>498</v>
      </c>
      <c r="C16">
        <v>4</v>
      </c>
      <c r="D16">
        <v>2</v>
      </c>
      <c r="E16" s="7">
        <v>0.33333333333333331</v>
      </c>
      <c r="F16" s="7">
        <v>0.58333333333333337</v>
      </c>
      <c r="G16" s="6"/>
      <c r="H16" s="6" t="s">
        <v>467</v>
      </c>
      <c r="R16" t="str" cm="1">
        <f t="array" aca="1" ref="R16" ca="1">+IFERROR(_xlfn.XLOOKUP($B16,INDIRECT("'[storico profut.xlsm]Consiglio_Week'!$B:$B"),INDIRECT("'[storico profut.xlsm]Consiglio_Week'!$I:$I")),"")</f>
        <v/>
      </c>
      <c r="S16" t="str" cm="1">
        <f t="array" aca="1" ref="S16" ca="1">+IFERROR(_xlfn.XLOOKUP($B16,INDIRECT("'[storico profut.xlsm]Consiglio_Week'!$B:$B"),INDIRECT("'[storico profut.xlsm]Consiglio_Week'!$L:$L")),"")</f>
        <v/>
      </c>
      <c r="T16" t="str" cm="1">
        <f t="array" aca="1" ref="T16" ca="1">+IFERROR(_xlfn.XLOOKUP($B16,INDIRECT("'[storico profut.xlsm]Consiglio_Week'!$B:$B"),INDIRECT("'[storico profut.xlsm]Consiglio_Week'!$M:$M")),"")</f>
        <v/>
      </c>
      <c r="U16" t="str" cm="1">
        <f t="array" aca="1" ref="U16" ca="1">+IFERROR(_xlfn.XLOOKUP($B16,INDIRECT("'[storico profut.xlsm]Consiglio_Week'!$B:$B"),INDIRECT("'[storico profut.xlsm]Consiglio_Week'!$P:$P")),"")</f>
        <v/>
      </c>
      <c r="V16" s="26" t="str" cm="1">
        <f t="array" aca="1" ref="V16" ca="1">IFERROR(
  _xlfn.XLOOKUP(
    $B16,
    INDIRECT("'[storico profut.xlsm]Consiglio_Week'!B:B"),
    OFFSET( INDIRECT("'[storico profut.xlsm]Consiglio_Week'!$R:$R"), 0, COLUMNS($A:A)-1 )
  ),
  ""
)</f>
        <v/>
      </c>
      <c r="W16" s="26" t="str" cm="1">
        <f t="array" aca="1" ref="W16" ca="1">IFERROR(
  _xlfn.XLOOKUP(
    $B16,
    INDIRECT("'[storico profut.xlsm]Consiglio_Week'!B:B"),
    OFFSET( INDIRECT("'[storico profut.xlsm]Consiglio_Week'!$R:$R"), 0, COLUMNS($A:B)-1 )
  ),
  ""
)</f>
        <v/>
      </c>
      <c r="X16" s="26" t="str" cm="1">
        <f t="array" aca="1" ref="X16" ca="1">IFERROR(
  _xlfn.XLOOKUP(
    $B16,
    INDIRECT("'[storico profut.xlsm]Consiglio_Week'!B:B"),
    OFFSET( INDIRECT("'[storico profut.xlsm]Consiglio_Week'!$R:$R"), 0, COLUMNS($A:C)-1 )
  ),
  ""
)</f>
        <v/>
      </c>
      <c r="Y16" s="26" t="str" cm="1">
        <f t="array" aca="1" ref="Y16" ca="1">IFERROR(
  _xlfn.XLOOKUP(
    $B16,
    INDIRECT("'[storico profut.xlsm]Consiglio_Week'!B:B"),
    OFFSET( INDIRECT("'[storico profut.xlsm]Consiglio_Week'!$R:$R"), 0, COLUMNS($A:D)-1 )
  ),
  ""
)</f>
        <v/>
      </c>
      <c r="Z16" s="26" t="str" cm="1">
        <f t="array" aca="1" ref="Z16" ca="1">IFERROR(
  _xlfn.XLOOKUP(
    $B16,
    INDIRECT("'[storico profut.xlsm]Consiglio_Week'!B:B"),
    OFFSET( INDIRECT("'[storico profut.xlsm]Consiglio_Week'!$R:$R"), 0, COLUMNS($A:E)-1 )
  ),
  ""
)</f>
        <v/>
      </c>
      <c r="AA16" s="27" t="str" cm="1">
        <f t="array" aca="1" ref="AA16" ca="1">IFERROR(
  _xlfn.XLOOKUP(
    $B16,
    INDIRECT("'[storico profut.xlsm]Consiglio_Week'!B:B"),
    OFFSET( INDIRECT("'[storico profut.xlsm]Consiglio_Week'!$R:$R"), 0, COLUMNS($A:F)-1 )
  ),
  ""
)</f>
        <v/>
      </c>
      <c r="AB16" s="26" t="str" cm="1">
        <f t="array" aca="1" ref="AB16" ca="1">IFERROR(
  _xlfn.XLOOKUP(
    $B16,
    INDIRECT("'[storico profut.xlsm]Consiglio_Week'!B:B"),
    OFFSET( INDIRECT("'[storico profut.xlsm]Consiglio_Week'!$R:$R"), 0, COLUMNS($A:G)-1 )
  ),
  ""
)</f>
        <v/>
      </c>
      <c r="AC16" s="26" t="str" cm="1">
        <f t="array" aca="1" ref="AC16" ca="1">IFERROR(
  _xlfn.XLOOKUP(
    $B16,
    INDIRECT("'[storico profut.xlsm]Consiglio_Week'!B:B"),
    OFFSET( INDIRECT("'[storico profut.xlsm]Consiglio_Week'!$R:$R"), 0, COLUMNS($A:H)-1 )
  ),
  ""
)</f>
        <v/>
      </c>
      <c r="AD16" s="26" t="str" cm="1">
        <f t="array" aca="1" ref="AD16" ca="1">IFERROR(
  _xlfn.XLOOKUP(
    $B16,
    INDIRECT("'[storico profut.xlsm]Consiglio_Week'!B:B"),
    OFFSET( INDIRECT("'[storico profut.xlsm]Consiglio_Week'!$R:$R"), 0, COLUMNS($A:I)-1 )
  ),
  ""
)</f>
        <v/>
      </c>
    </row>
    <row r="17" spans="1:30">
      <c r="A17" t="s">
        <v>443</v>
      </c>
      <c r="B17" t="s">
        <v>499</v>
      </c>
      <c r="C17">
        <v>4</v>
      </c>
      <c r="D17">
        <v>2</v>
      </c>
      <c r="E17" s="7">
        <v>0.33333333333333331</v>
      </c>
      <c r="F17" s="7">
        <v>0.58333333333333337</v>
      </c>
      <c r="G17" s="6"/>
      <c r="H17" s="8" t="s">
        <v>467</v>
      </c>
      <c r="R17" t="str" cm="1">
        <f t="array" aca="1" ref="R17" ca="1">+IFERROR(_xlfn.XLOOKUP($B17,INDIRECT("'[storico profut.xlsm]Consiglio_Week'!$B:$B"),INDIRECT("'[storico profut.xlsm]Consiglio_Week'!$I:$I")),"")</f>
        <v/>
      </c>
      <c r="S17" t="str" cm="1">
        <f t="array" aca="1" ref="S17" ca="1">+IFERROR(_xlfn.XLOOKUP($B17,INDIRECT("'[storico profut.xlsm]Consiglio_Week'!$B:$B"),INDIRECT("'[storico profut.xlsm]Consiglio_Week'!$L:$L")),"")</f>
        <v/>
      </c>
      <c r="T17" t="str" cm="1">
        <f t="array" aca="1" ref="T17" ca="1">+IFERROR(_xlfn.XLOOKUP($B17,INDIRECT("'[storico profut.xlsm]Consiglio_Week'!$B:$B"),INDIRECT("'[storico profut.xlsm]Consiglio_Week'!$M:$M")),"")</f>
        <v/>
      </c>
      <c r="U17" t="str" cm="1">
        <f t="array" aca="1" ref="U17" ca="1">+IFERROR(_xlfn.XLOOKUP($B17,INDIRECT("'[storico profut.xlsm]Consiglio_Week'!$B:$B"),INDIRECT("'[storico profut.xlsm]Consiglio_Week'!$P:$P")),"")</f>
        <v/>
      </c>
      <c r="V17" s="26" t="str" cm="1">
        <f t="array" aca="1" ref="V17" ca="1">IFERROR(
  _xlfn.XLOOKUP(
    $B17,
    INDIRECT("'[storico profut.xlsm]Consiglio_Week'!B:B"),
    OFFSET( INDIRECT("'[storico profut.xlsm]Consiglio_Week'!$R:$R"), 0, COLUMNS($A:A)-1 )
  ),
  ""
)</f>
        <v/>
      </c>
      <c r="W17" s="26" t="str" cm="1">
        <f t="array" aca="1" ref="W17" ca="1">IFERROR(
  _xlfn.XLOOKUP(
    $B17,
    INDIRECT("'[storico profut.xlsm]Consiglio_Week'!B:B"),
    OFFSET( INDIRECT("'[storico profut.xlsm]Consiglio_Week'!$R:$R"), 0, COLUMNS($A:B)-1 )
  ),
  ""
)</f>
        <v/>
      </c>
      <c r="X17" s="26" t="str" cm="1">
        <f t="array" aca="1" ref="X17" ca="1">IFERROR(
  _xlfn.XLOOKUP(
    $B17,
    INDIRECT("'[storico profut.xlsm]Consiglio_Week'!B:B"),
    OFFSET( INDIRECT("'[storico profut.xlsm]Consiglio_Week'!$R:$R"), 0, COLUMNS($A:C)-1 )
  ),
  ""
)</f>
        <v/>
      </c>
      <c r="Y17" s="26" t="str" cm="1">
        <f t="array" aca="1" ref="Y17" ca="1">IFERROR(
  _xlfn.XLOOKUP(
    $B17,
    INDIRECT("'[storico profut.xlsm]Consiglio_Week'!B:B"),
    OFFSET( INDIRECT("'[storico profut.xlsm]Consiglio_Week'!$R:$R"), 0, COLUMNS($A:D)-1 )
  ),
  ""
)</f>
        <v/>
      </c>
      <c r="Z17" s="26" t="str" cm="1">
        <f t="array" aca="1" ref="Z17" ca="1">IFERROR(
  _xlfn.XLOOKUP(
    $B17,
    INDIRECT("'[storico profut.xlsm]Consiglio_Week'!B:B"),
    OFFSET( INDIRECT("'[storico profut.xlsm]Consiglio_Week'!$R:$R"), 0, COLUMNS($A:E)-1 )
  ),
  ""
)</f>
        <v/>
      </c>
      <c r="AA17" s="27" t="str" cm="1">
        <f t="array" aca="1" ref="AA17" ca="1">IFERROR(
  _xlfn.XLOOKUP(
    $B17,
    INDIRECT("'[storico profut.xlsm]Consiglio_Week'!B:B"),
    OFFSET( INDIRECT("'[storico profut.xlsm]Consiglio_Week'!$R:$R"), 0, COLUMNS($A:F)-1 )
  ),
  ""
)</f>
        <v/>
      </c>
      <c r="AB17" s="26" t="str" cm="1">
        <f t="array" aca="1" ref="AB17" ca="1">IFERROR(
  _xlfn.XLOOKUP(
    $B17,
    INDIRECT("'[storico profut.xlsm]Consiglio_Week'!B:B"),
    OFFSET( INDIRECT("'[storico profut.xlsm]Consiglio_Week'!$R:$R"), 0, COLUMNS($A:G)-1 )
  ),
  ""
)</f>
        <v/>
      </c>
      <c r="AC17" s="26" t="str" cm="1">
        <f t="array" aca="1" ref="AC17" ca="1">IFERROR(
  _xlfn.XLOOKUP(
    $B17,
    INDIRECT("'[storico profut.xlsm]Consiglio_Week'!B:B"),
    OFFSET( INDIRECT("'[storico profut.xlsm]Consiglio_Week'!$R:$R"), 0, COLUMNS($A:H)-1 )
  ),
  ""
)</f>
        <v/>
      </c>
      <c r="AD17" s="26" t="str" cm="1">
        <f t="array" aca="1" ref="AD17" ca="1">IFERROR(
  _xlfn.XLOOKUP(
    $B17,
    INDIRECT("'[storico profut.xlsm]Consiglio_Week'!B:B"),
    OFFSET( INDIRECT("'[storico profut.xlsm]Consiglio_Week'!$R:$R"), 0, COLUMNS($A:I)-1 )
  ),
  ""
)</f>
        <v/>
      </c>
    </row>
    <row r="18" spans="1:30">
      <c r="A18" t="s">
        <v>444</v>
      </c>
      <c r="B18" t="s">
        <v>500</v>
      </c>
      <c r="C18">
        <v>4</v>
      </c>
      <c r="D18">
        <v>2</v>
      </c>
      <c r="E18" s="7">
        <v>0.33333333333333331</v>
      </c>
      <c r="F18" s="7">
        <v>0.58333333333333337</v>
      </c>
      <c r="G18" s="8"/>
      <c r="H18" s="8" t="s">
        <v>467</v>
      </c>
      <c r="R18" t="str" cm="1">
        <f t="array" aca="1" ref="R18" ca="1">+IFERROR(_xlfn.XLOOKUP($B18,INDIRECT("'[storico profut.xlsm]Consiglio_Week'!$B:$B"),INDIRECT("'[storico profut.xlsm]Consiglio_Week'!$I:$I")),"")</f>
        <v/>
      </c>
      <c r="S18" t="str" cm="1">
        <f t="array" aca="1" ref="S18" ca="1">+IFERROR(_xlfn.XLOOKUP($B18,INDIRECT("'[storico profut.xlsm]Consiglio_Week'!$B:$B"),INDIRECT("'[storico profut.xlsm]Consiglio_Week'!$L:$L")),"")</f>
        <v/>
      </c>
      <c r="T18" t="str" cm="1">
        <f t="array" aca="1" ref="T18" ca="1">+IFERROR(_xlfn.XLOOKUP($B18,INDIRECT("'[storico profut.xlsm]Consiglio_Week'!$B:$B"),INDIRECT("'[storico profut.xlsm]Consiglio_Week'!$M:$M")),"")</f>
        <v/>
      </c>
      <c r="U18" t="str" cm="1">
        <f t="array" aca="1" ref="U18" ca="1">+IFERROR(_xlfn.XLOOKUP($B18,INDIRECT("'[storico profut.xlsm]Consiglio_Week'!$B:$B"),INDIRECT("'[storico profut.xlsm]Consiglio_Week'!$P:$P")),"")</f>
        <v/>
      </c>
      <c r="V18" s="26" t="str" cm="1">
        <f t="array" aca="1" ref="V18" ca="1">IFERROR(
  _xlfn.XLOOKUP(
    $B18,
    INDIRECT("'[storico profut.xlsm]Consiglio_Week'!B:B"),
    OFFSET( INDIRECT("'[storico profut.xlsm]Consiglio_Week'!$R:$R"), 0, COLUMNS($A:A)-1 )
  ),
  ""
)</f>
        <v/>
      </c>
      <c r="W18" s="26" t="str" cm="1">
        <f t="array" aca="1" ref="W18" ca="1">IFERROR(
  _xlfn.XLOOKUP(
    $B18,
    INDIRECT("'[storico profut.xlsm]Consiglio_Week'!B:B"),
    OFFSET( INDIRECT("'[storico profut.xlsm]Consiglio_Week'!$R:$R"), 0, COLUMNS($A:B)-1 )
  ),
  ""
)</f>
        <v/>
      </c>
      <c r="X18" s="26" t="str" cm="1">
        <f t="array" aca="1" ref="X18" ca="1">IFERROR(
  _xlfn.XLOOKUP(
    $B18,
    INDIRECT("'[storico profut.xlsm]Consiglio_Week'!B:B"),
    OFFSET( INDIRECT("'[storico profut.xlsm]Consiglio_Week'!$R:$R"), 0, COLUMNS($A:C)-1 )
  ),
  ""
)</f>
        <v/>
      </c>
      <c r="Y18" s="26" t="str" cm="1">
        <f t="array" aca="1" ref="Y18" ca="1">IFERROR(
  _xlfn.XLOOKUP(
    $B18,
    INDIRECT("'[storico profut.xlsm]Consiglio_Week'!B:B"),
    OFFSET( INDIRECT("'[storico profut.xlsm]Consiglio_Week'!$R:$R"), 0, COLUMNS($A:D)-1 )
  ),
  ""
)</f>
        <v/>
      </c>
      <c r="Z18" s="26" t="str" cm="1">
        <f t="array" aca="1" ref="Z18" ca="1">IFERROR(
  _xlfn.XLOOKUP(
    $B18,
    INDIRECT("'[storico profut.xlsm]Consiglio_Week'!B:B"),
    OFFSET( INDIRECT("'[storico profut.xlsm]Consiglio_Week'!$R:$R"), 0, COLUMNS($A:E)-1 )
  ),
  ""
)</f>
        <v/>
      </c>
      <c r="AA18" s="27" t="str" cm="1">
        <f t="array" aca="1" ref="AA18" ca="1">IFERROR(
  _xlfn.XLOOKUP(
    $B18,
    INDIRECT("'[storico profut.xlsm]Consiglio_Week'!B:B"),
    OFFSET( INDIRECT("'[storico profut.xlsm]Consiglio_Week'!$R:$R"), 0, COLUMNS($A:F)-1 )
  ),
  ""
)</f>
        <v/>
      </c>
      <c r="AB18" s="26" t="str" cm="1">
        <f t="array" aca="1" ref="AB18" ca="1">IFERROR(
  _xlfn.XLOOKUP(
    $B18,
    INDIRECT("'[storico profut.xlsm]Consiglio_Week'!B:B"),
    OFFSET( INDIRECT("'[storico profut.xlsm]Consiglio_Week'!$R:$R"), 0, COLUMNS($A:G)-1 )
  ),
  ""
)</f>
        <v/>
      </c>
      <c r="AC18" s="26" t="str" cm="1">
        <f t="array" aca="1" ref="AC18" ca="1">IFERROR(
  _xlfn.XLOOKUP(
    $B18,
    INDIRECT("'[storico profut.xlsm]Consiglio_Week'!B:B"),
    OFFSET( INDIRECT("'[storico profut.xlsm]Consiglio_Week'!$R:$R"), 0, COLUMNS($A:H)-1 )
  ),
  ""
)</f>
        <v/>
      </c>
      <c r="AD18" s="26" t="str" cm="1">
        <f t="array" aca="1" ref="AD18" ca="1">IFERROR(
  _xlfn.XLOOKUP(
    $B18,
    INDIRECT("'[storico profut.xlsm]Consiglio_Week'!B:B"),
    OFFSET( INDIRECT("'[storico profut.xlsm]Consiglio_Week'!$R:$R"), 0, COLUMNS($A:I)-1 )
  ),
  ""
)</f>
        <v/>
      </c>
    </row>
    <row r="19" spans="1:30">
      <c r="A19" t="s">
        <v>445</v>
      </c>
      <c r="B19" t="s">
        <v>501</v>
      </c>
      <c r="C19">
        <v>4</v>
      </c>
      <c r="D19">
        <v>2</v>
      </c>
      <c r="E19" s="7">
        <v>0.33333333333333331</v>
      </c>
      <c r="F19" s="7">
        <v>0.58333333333333337</v>
      </c>
      <c r="G19" s="6"/>
      <c r="H19" s="6" t="s">
        <v>467</v>
      </c>
      <c r="R19" t="str" cm="1">
        <f t="array" aca="1" ref="R19" ca="1">+IFERROR(_xlfn.XLOOKUP($B19,INDIRECT("'[storico profut.xlsm]Consiglio_Week'!$B:$B"),INDIRECT("'[storico profut.xlsm]Consiglio_Week'!$I:$I")),"")</f>
        <v/>
      </c>
      <c r="S19" t="str" cm="1">
        <f t="array" aca="1" ref="S19" ca="1">+IFERROR(_xlfn.XLOOKUP($B19,INDIRECT("'[storico profut.xlsm]Consiglio_Week'!$B:$B"),INDIRECT("'[storico profut.xlsm]Consiglio_Week'!$L:$L")),"")</f>
        <v/>
      </c>
      <c r="T19" t="str" cm="1">
        <f t="array" aca="1" ref="T19" ca="1">+IFERROR(_xlfn.XLOOKUP($B19,INDIRECT("'[storico profut.xlsm]Consiglio_Week'!$B:$B"),INDIRECT("'[storico profut.xlsm]Consiglio_Week'!$M:$M")),"")</f>
        <v/>
      </c>
      <c r="U19" t="str" cm="1">
        <f t="array" aca="1" ref="U19" ca="1">+IFERROR(_xlfn.XLOOKUP($B19,INDIRECT("'[storico profut.xlsm]Consiglio_Week'!$B:$B"),INDIRECT("'[storico profut.xlsm]Consiglio_Week'!$P:$P")),"")</f>
        <v/>
      </c>
      <c r="V19" s="26" t="str" cm="1">
        <f t="array" aca="1" ref="V19" ca="1">IFERROR(
  _xlfn.XLOOKUP(
    $B19,
    INDIRECT("'[storico profut.xlsm]Consiglio_Week'!B:B"),
    OFFSET( INDIRECT("'[storico profut.xlsm]Consiglio_Week'!$R:$R"), 0, COLUMNS($A:A)-1 )
  ),
  ""
)</f>
        <v/>
      </c>
      <c r="W19" s="26" t="str" cm="1">
        <f t="array" aca="1" ref="W19" ca="1">IFERROR(
  _xlfn.XLOOKUP(
    $B19,
    INDIRECT("'[storico profut.xlsm]Consiglio_Week'!B:B"),
    OFFSET( INDIRECT("'[storico profut.xlsm]Consiglio_Week'!$R:$R"), 0, COLUMNS($A:B)-1 )
  ),
  ""
)</f>
        <v/>
      </c>
      <c r="X19" s="26" t="str" cm="1">
        <f t="array" aca="1" ref="X19" ca="1">IFERROR(
  _xlfn.XLOOKUP(
    $B19,
    INDIRECT("'[storico profut.xlsm]Consiglio_Week'!B:B"),
    OFFSET( INDIRECT("'[storico profut.xlsm]Consiglio_Week'!$R:$R"), 0, COLUMNS($A:C)-1 )
  ),
  ""
)</f>
        <v/>
      </c>
      <c r="Y19" s="26" t="str" cm="1">
        <f t="array" aca="1" ref="Y19" ca="1">IFERROR(
  _xlfn.XLOOKUP(
    $B19,
    INDIRECT("'[storico profut.xlsm]Consiglio_Week'!B:B"),
    OFFSET( INDIRECT("'[storico profut.xlsm]Consiglio_Week'!$R:$R"), 0, COLUMNS($A:D)-1 )
  ),
  ""
)</f>
        <v/>
      </c>
      <c r="Z19" s="26" t="str" cm="1">
        <f t="array" aca="1" ref="Z19" ca="1">IFERROR(
  _xlfn.XLOOKUP(
    $B19,
    INDIRECT("'[storico profut.xlsm]Consiglio_Week'!B:B"),
    OFFSET( INDIRECT("'[storico profut.xlsm]Consiglio_Week'!$R:$R"), 0, COLUMNS($A:E)-1 )
  ),
  ""
)</f>
        <v/>
      </c>
      <c r="AA19" s="27" t="str" cm="1">
        <f t="array" aca="1" ref="AA19" ca="1">IFERROR(
  _xlfn.XLOOKUP(
    $B19,
    INDIRECT("'[storico profut.xlsm]Consiglio_Week'!B:B"),
    OFFSET( INDIRECT("'[storico profut.xlsm]Consiglio_Week'!$R:$R"), 0, COLUMNS($A:F)-1 )
  ),
  ""
)</f>
        <v/>
      </c>
      <c r="AB19" s="26" t="str" cm="1">
        <f t="array" aca="1" ref="AB19" ca="1">IFERROR(
  _xlfn.XLOOKUP(
    $B19,
    INDIRECT("'[storico profut.xlsm]Consiglio_Week'!B:B"),
    OFFSET( INDIRECT("'[storico profut.xlsm]Consiglio_Week'!$R:$R"), 0, COLUMNS($A:G)-1 )
  ),
  ""
)</f>
        <v/>
      </c>
      <c r="AC19" s="26" t="str" cm="1">
        <f t="array" aca="1" ref="AC19" ca="1">IFERROR(
  _xlfn.XLOOKUP(
    $B19,
    INDIRECT("'[storico profut.xlsm]Consiglio_Week'!B:B"),
    OFFSET( INDIRECT("'[storico profut.xlsm]Consiglio_Week'!$R:$R"), 0, COLUMNS($A:H)-1 )
  ),
  ""
)</f>
        <v/>
      </c>
      <c r="AD19" s="26" t="str" cm="1">
        <f t="array" aca="1" ref="AD19" ca="1">IFERROR(
  _xlfn.XLOOKUP(
    $B19,
    INDIRECT("'[storico profut.xlsm]Consiglio_Week'!B:B"),
    OFFSET( INDIRECT("'[storico profut.xlsm]Consiglio_Week'!$R:$R"), 0, COLUMNS($A:I)-1 )
  ),
  ""
)</f>
        <v/>
      </c>
    </row>
    <row r="20" spans="1:30">
      <c r="A20" t="s">
        <v>446</v>
      </c>
      <c r="B20" t="s">
        <v>502</v>
      </c>
      <c r="C20">
        <v>4</v>
      </c>
      <c r="D20">
        <v>2</v>
      </c>
      <c r="E20" s="7">
        <v>0.33333333333333331</v>
      </c>
      <c r="F20" s="7">
        <v>0.58333333333333337</v>
      </c>
      <c r="G20" s="6"/>
      <c r="H20" s="8" t="s">
        <v>467</v>
      </c>
      <c r="R20" t="str" cm="1">
        <f t="array" aca="1" ref="R20" ca="1">+IFERROR(_xlfn.XLOOKUP($B20,INDIRECT("'[storico profut.xlsm]Consiglio_Week'!$B:$B"),INDIRECT("'[storico profut.xlsm]Consiglio_Week'!$I:$I")),"")</f>
        <v/>
      </c>
      <c r="S20" t="str" cm="1">
        <f t="array" aca="1" ref="S20" ca="1">+IFERROR(_xlfn.XLOOKUP($B20,INDIRECT("'[storico profut.xlsm]Consiglio_Week'!$B:$B"),INDIRECT("'[storico profut.xlsm]Consiglio_Week'!$L:$L")),"")</f>
        <v/>
      </c>
      <c r="T20" t="str" cm="1">
        <f t="array" aca="1" ref="T20" ca="1">+IFERROR(_xlfn.XLOOKUP($B20,INDIRECT("'[storico profut.xlsm]Consiglio_Week'!$B:$B"),INDIRECT("'[storico profut.xlsm]Consiglio_Week'!$M:$M")),"")</f>
        <v/>
      </c>
      <c r="U20" t="str" cm="1">
        <f t="array" aca="1" ref="U20" ca="1">+IFERROR(_xlfn.XLOOKUP($B20,INDIRECT("'[storico profut.xlsm]Consiglio_Week'!$B:$B"),INDIRECT("'[storico profut.xlsm]Consiglio_Week'!$P:$P")),"")</f>
        <v/>
      </c>
      <c r="V20" s="26" t="str" cm="1">
        <f t="array" aca="1" ref="V20" ca="1">IFERROR(
  _xlfn.XLOOKUP(
    $B20,
    INDIRECT("'[storico profut.xlsm]Consiglio_Week'!B:B"),
    OFFSET( INDIRECT("'[storico profut.xlsm]Consiglio_Week'!$R:$R"), 0, COLUMNS($A:A)-1 )
  ),
  ""
)</f>
        <v/>
      </c>
      <c r="W20" s="26" t="str" cm="1">
        <f t="array" aca="1" ref="W20" ca="1">IFERROR(
  _xlfn.XLOOKUP(
    $B20,
    INDIRECT("'[storico profut.xlsm]Consiglio_Week'!B:B"),
    OFFSET( INDIRECT("'[storico profut.xlsm]Consiglio_Week'!$R:$R"), 0, COLUMNS($A:B)-1 )
  ),
  ""
)</f>
        <v/>
      </c>
      <c r="X20" s="26" t="str" cm="1">
        <f t="array" aca="1" ref="X20" ca="1">IFERROR(
  _xlfn.XLOOKUP(
    $B20,
    INDIRECT("'[storico profut.xlsm]Consiglio_Week'!B:B"),
    OFFSET( INDIRECT("'[storico profut.xlsm]Consiglio_Week'!$R:$R"), 0, COLUMNS($A:C)-1 )
  ),
  ""
)</f>
        <v/>
      </c>
      <c r="Y20" s="26" t="str" cm="1">
        <f t="array" aca="1" ref="Y20" ca="1">IFERROR(
  _xlfn.XLOOKUP(
    $B20,
    INDIRECT("'[storico profut.xlsm]Consiglio_Week'!B:B"),
    OFFSET( INDIRECT("'[storico profut.xlsm]Consiglio_Week'!$R:$R"), 0, COLUMNS($A:D)-1 )
  ),
  ""
)</f>
        <v/>
      </c>
      <c r="Z20" s="26" t="str" cm="1">
        <f t="array" aca="1" ref="Z20" ca="1">IFERROR(
  _xlfn.XLOOKUP(
    $B20,
    INDIRECT("'[storico profut.xlsm]Consiglio_Week'!B:B"),
    OFFSET( INDIRECT("'[storico profut.xlsm]Consiglio_Week'!$R:$R"), 0, COLUMNS($A:E)-1 )
  ),
  ""
)</f>
        <v/>
      </c>
      <c r="AA20" s="27" t="str" cm="1">
        <f t="array" aca="1" ref="AA20" ca="1">IFERROR(
  _xlfn.XLOOKUP(
    $B20,
    INDIRECT("'[storico profut.xlsm]Consiglio_Week'!B:B"),
    OFFSET( INDIRECT("'[storico profut.xlsm]Consiglio_Week'!$R:$R"), 0, COLUMNS($A:F)-1 )
  ),
  ""
)</f>
        <v/>
      </c>
      <c r="AB20" s="26" t="str" cm="1">
        <f t="array" aca="1" ref="AB20" ca="1">IFERROR(
  _xlfn.XLOOKUP(
    $B20,
    INDIRECT("'[storico profut.xlsm]Consiglio_Week'!B:B"),
    OFFSET( INDIRECT("'[storico profut.xlsm]Consiglio_Week'!$R:$R"), 0, COLUMNS($A:G)-1 )
  ),
  ""
)</f>
        <v/>
      </c>
      <c r="AC20" s="26" t="str" cm="1">
        <f t="array" aca="1" ref="AC20" ca="1">IFERROR(
  _xlfn.XLOOKUP(
    $B20,
    INDIRECT("'[storico profut.xlsm]Consiglio_Week'!B:B"),
    OFFSET( INDIRECT("'[storico profut.xlsm]Consiglio_Week'!$R:$R"), 0, COLUMNS($A:H)-1 )
  ),
  ""
)</f>
        <v/>
      </c>
      <c r="AD20" s="26" t="str" cm="1">
        <f t="array" aca="1" ref="AD20" ca="1">IFERROR(
  _xlfn.XLOOKUP(
    $B20,
    INDIRECT("'[storico profut.xlsm]Consiglio_Week'!B:B"),
    OFFSET( INDIRECT("'[storico profut.xlsm]Consiglio_Week'!$R:$R"), 0, COLUMNS($A:I)-1 )
  ),
  ""
)</f>
        <v/>
      </c>
    </row>
    <row r="21" spans="1:30">
      <c r="A21" t="s">
        <v>447</v>
      </c>
      <c r="B21" t="s">
        <v>503</v>
      </c>
      <c r="C21">
        <v>4</v>
      </c>
      <c r="D21">
        <v>2</v>
      </c>
      <c r="E21" s="7">
        <v>0.33333333333333331</v>
      </c>
      <c r="F21" s="7">
        <v>0.58333333333333337</v>
      </c>
      <c r="G21" s="6"/>
      <c r="H21" s="8" t="s">
        <v>467</v>
      </c>
      <c r="R21" t="str" cm="1">
        <f t="array" aca="1" ref="R21" ca="1">+IFERROR(_xlfn.XLOOKUP($B21,INDIRECT("'[storico profut.xlsm]Consiglio_Week'!$B:$B"),INDIRECT("'[storico profut.xlsm]Consiglio_Week'!$I:$I")),"")</f>
        <v/>
      </c>
      <c r="S21" t="str" cm="1">
        <f t="array" aca="1" ref="S21" ca="1">+IFERROR(_xlfn.XLOOKUP($B21,INDIRECT("'[storico profut.xlsm]Consiglio_Week'!$B:$B"),INDIRECT("'[storico profut.xlsm]Consiglio_Week'!$L:$L")),"")</f>
        <v/>
      </c>
      <c r="T21" t="str" cm="1">
        <f t="array" aca="1" ref="T21" ca="1">+IFERROR(_xlfn.XLOOKUP($B21,INDIRECT("'[storico profut.xlsm]Consiglio_Week'!$B:$B"),INDIRECT("'[storico profut.xlsm]Consiglio_Week'!$M:$M")),"")</f>
        <v/>
      </c>
      <c r="U21" t="str" cm="1">
        <f t="array" aca="1" ref="U21" ca="1">+IFERROR(_xlfn.XLOOKUP($B21,INDIRECT("'[storico profut.xlsm]Consiglio_Week'!$B:$B"),INDIRECT("'[storico profut.xlsm]Consiglio_Week'!$P:$P")),"")</f>
        <v/>
      </c>
      <c r="V21" s="26" t="str" cm="1">
        <f t="array" aca="1" ref="V21" ca="1">IFERROR(
  _xlfn.XLOOKUP(
    $B21,
    INDIRECT("'[storico profut.xlsm]Consiglio_Week'!B:B"),
    OFFSET( INDIRECT("'[storico profut.xlsm]Consiglio_Week'!$R:$R"), 0, COLUMNS($A:A)-1 )
  ),
  ""
)</f>
        <v/>
      </c>
      <c r="W21" s="26" t="str" cm="1">
        <f t="array" aca="1" ref="W21" ca="1">IFERROR(
  _xlfn.XLOOKUP(
    $B21,
    INDIRECT("'[storico profut.xlsm]Consiglio_Week'!B:B"),
    OFFSET( INDIRECT("'[storico profut.xlsm]Consiglio_Week'!$R:$R"), 0, COLUMNS($A:B)-1 )
  ),
  ""
)</f>
        <v/>
      </c>
      <c r="X21" s="26" t="str" cm="1">
        <f t="array" aca="1" ref="X21" ca="1">IFERROR(
  _xlfn.XLOOKUP(
    $B21,
    INDIRECT("'[storico profut.xlsm]Consiglio_Week'!B:B"),
    OFFSET( INDIRECT("'[storico profut.xlsm]Consiglio_Week'!$R:$R"), 0, COLUMNS($A:C)-1 )
  ),
  ""
)</f>
        <v/>
      </c>
      <c r="Y21" s="26" t="str" cm="1">
        <f t="array" aca="1" ref="Y21" ca="1">IFERROR(
  _xlfn.XLOOKUP(
    $B21,
    INDIRECT("'[storico profut.xlsm]Consiglio_Week'!B:B"),
    OFFSET( INDIRECT("'[storico profut.xlsm]Consiglio_Week'!$R:$R"), 0, COLUMNS($A:D)-1 )
  ),
  ""
)</f>
        <v/>
      </c>
      <c r="Z21" s="26" t="str" cm="1">
        <f t="array" aca="1" ref="Z21" ca="1">IFERROR(
  _xlfn.XLOOKUP(
    $B21,
    INDIRECT("'[storico profut.xlsm]Consiglio_Week'!B:B"),
    OFFSET( INDIRECT("'[storico profut.xlsm]Consiglio_Week'!$R:$R"), 0, COLUMNS($A:E)-1 )
  ),
  ""
)</f>
        <v/>
      </c>
      <c r="AA21" s="27" t="str" cm="1">
        <f t="array" aca="1" ref="AA21" ca="1">IFERROR(
  _xlfn.XLOOKUP(
    $B21,
    INDIRECT("'[storico profut.xlsm]Consiglio_Week'!B:B"),
    OFFSET( INDIRECT("'[storico profut.xlsm]Consiglio_Week'!$R:$R"), 0, COLUMNS($A:F)-1 )
  ),
  ""
)</f>
        <v/>
      </c>
      <c r="AB21" s="26" t="str" cm="1">
        <f t="array" aca="1" ref="AB21" ca="1">IFERROR(
  _xlfn.XLOOKUP(
    $B21,
    INDIRECT("'[storico profut.xlsm]Consiglio_Week'!B:B"),
    OFFSET( INDIRECT("'[storico profut.xlsm]Consiglio_Week'!$R:$R"), 0, COLUMNS($A:G)-1 )
  ),
  ""
)</f>
        <v/>
      </c>
      <c r="AC21" s="26" t="str" cm="1">
        <f t="array" aca="1" ref="AC21" ca="1">IFERROR(
  _xlfn.XLOOKUP(
    $B21,
    INDIRECT("'[storico profut.xlsm]Consiglio_Week'!B:B"),
    OFFSET( INDIRECT("'[storico profut.xlsm]Consiglio_Week'!$R:$R"), 0, COLUMNS($A:H)-1 )
  ),
  ""
)</f>
        <v/>
      </c>
      <c r="AD21" s="26" t="str" cm="1">
        <f t="array" aca="1" ref="AD21" ca="1">IFERROR(
  _xlfn.XLOOKUP(
    $B21,
    INDIRECT("'[storico profut.xlsm]Consiglio_Week'!B:B"),
    OFFSET( INDIRECT("'[storico profut.xlsm]Consiglio_Week'!$R:$R"), 0, COLUMNS($A:I)-1 )
  ),
  ""
)</f>
        <v/>
      </c>
    </row>
    <row r="22" spans="1:30">
      <c r="G22" s="6"/>
      <c r="H22" s="8"/>
      <c r="V22" s="26"/>
      <c r="W22" s="26"/>
      <c r="X22" s="26"/>
      <c r="Y22" s="26"/>
      <c r="Z22" s="26"/>
      <c r="AA22" s="27"/>
      <c r="AB22" s="26"/>
      <c r="AC22" s="26"/>
      <c r="AD22" s="26"/>
    </row>
    <row r="23" spans="1:30">
      <c r="G23" s="6"/>
      <c r="H23" s="6"/>
      <c r="V23" s="26"/>
      <c r="W23" s="26"/>
      <c r="X23" s="26"/>
      <c r="Y23" s="26"/>
      <c r="Z23" s="26"/>
      <c r="AA23" s="27"/>
      <c r="AB23" s="26"/>
      <c r="AC23" s="26"/>
      <c r="AD23" s="26"/>
    </row>
    <row r="24" spans="1:30">
      <c r="G24" s="6"/>
      <c r="H24" s="8"/>
      <c r="V24" s="26"/>
      <c r="W24" s="26"/>
      <c r="X24" s="26"/>
      <c r="Y24" s="26"/>
      <c r="Z24" s="26"/>
      <c r="AA24" s="27"/>
      <c r="AB24" s="26"/>
      <c r="AC24" s="26"/>
      <c r="AD24" s="26"/>
    </row>
    <row r="25" spans="1:30">
      <c r="G25" s="6"/>
      <c r="H25" s="6"/>
      <c r="V25" s="26"/>
      <c r="W25" s="26"/>
      <c r="X25" s="26"/>
      <c r="Y25" s="26"/>
      <c r="Z25" s="26"/>
      <c r="AA25" s="27"/>
      <c r="AB25" s="26"/>
      <c r="AC25" s="26"/>
      <c r="AD25" s="26"/>
    </row>
    <row r="26" spans="1:30">
      <c r="G26" s="6"/>
      <c r="H26" s="6"/>
      <c r="V26" s="26"/>
      <c r="W26" s="26"/>
      <c r="X26" s="26"/>
      <c r="Y26" s="26"/>
      <c r="Z26" s="26"/>
      <c r="AA26" s="27"/>
      <c r="AB26" s="26"/>
      <c r="AC26" s="26"/>
      <c r="AD26" s="26"/>
    </row>
    <row r="27" spans="1:30">
      <c r="G27" s="6"/>
      <c r="H27" s="6"/>
      <c r="V27" s="26"/>
      <c r="W27" s="26"/>
      <c r="X27" s="26"/>
      <c r="Y27" s="26"/>
      <c r="Z27" s="26"/>
      <c r="AA27" s="27"/>
      <c r="AB27" s="26"/>
      <c r="AC27" s="26"/>
      <c r="AD27" s="26"/>
    </row>
    <row r="28" spans="1:30">
      <c r="G28" s="6"/>
      <c r="H28" s="6"/>
      <c r="V28" s="26"/>
      <c r="W28" s="26"/>
      <c r="X28" s="26"/>
      <c r="Y28" s="26"/>
      <c r="Z28" s="26"/>
      <c r="AA28" s="27"/>
      <c r="AB28" s="26"/>
      <c r="AC28" s="26"/>
      <c r="AD28" s="26"/>
    </row>
    <row r="29" spans="1:30">
      <c r="E29" s="17"/>
      <c r="F29" s="17"/>
      <c r="G29" s="6"/>
      <c r="H29" s="6"/>
      <c r="V29" s="26"/>
      <c r="W29" s="26"/>
      <c r="X29" s="26"/>
      <c r="Y29" s="26"/>
      <c r="Z29" s="26"/>
      <c r="AA29" s="27"/>
      <c r="AB29" s="26"/>
      <c r="AC29" s="26"/>
      <c r="AD29" s="26"/>
    </row>
  </sheetData>
  <autoFilter ref="A1:AE29" xr:uid="{BAB51232-DE35-4AFA-A353-AF5CBD54AEA2}"/>
  <phoneticPr fontId="4" type="noConversion"/>
  <conditionalFormatting sqref="A2:A29">
    <cfRule type="duplicateValues" dxfId="4" priority="10"/>
  </conditionalFormatting>
  <conditionalFormatting sqref="B2:B29">
    <cfRule type="duplicateValues" dxfId="3" priority="12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275AC-CDC7-4613-BB62-04C6414C59F1}">
  <sheetPr codeName="Foglio4"/>
  <dimension ref="A1:Z30"/>
  <sheetViews>
    <sheetView zoomScale="85" zoomScaleNormal="85" workbookViewId="0">
      <selection activeCell="R33" sqref="R33"/>
    </sheetView>
  </sheetViews>
  <sheetFormatPr defaultRowHeight="15"/>
  <cols>
    <col min="1" max="1" width="19.5703125" bestFit="1" customWidth="1"/>
    <col min="2" max="2" width="19.5703125" customWidth="1"/>
  </cols>
  <sheetData>
    <row r="1" spans="1:26">
      <c r="E1" s="28">
        <v>39</v>
      </c>
      <c r="F1" s="28"/>
      <c r="G1" s="28">
        <v>40</v>
      </c>
      <c r="H1" s="28"/>
      <c r="I1" s="28">
        <v>41</v>
      </c>
      <c r="J1" s="28"/>
      <c r="K1" s="28">
        <v>42</v>
      </c>
      <c r="L1" s="28"/>
      <c r="M1" s="28">
        <v>43</v>
      </c>
      <c r="N1" s="28"/>
      <c r="O1" s="28">
        <v>44</v>
      </c>
      <c r="P1" s="28"/>
      <c r="Q1" s="28">
        <f>+O1+1</f>
        <v>45</v>
      </c>
      <c r="R1" s="28"/>
      <c r="S1" s="28">
        <f>+Q1+1</f>
        <v>46</v>
      </c>
      <c r="T1" s="28"/>
      <c r="U1" s="28">
        <f>+S1+1</f>
        <v>47</v>
      </c>
      <c r="V1" s="28"/>
      <c r="W1" s="28">
        <f>+U1+1</f>
        <v>48</v>
      </c>
      <c r="X1" s="28"/>
      <c r="Y1" s="28">
        <f>+W1+1</f>
        <v>49</v>
      </c>
      <c r="Z1" s="28"/>
    </row>
    <row r="2" spans="1:26">
      <c r="A2" t="s">
        <v>223</v>
      </c>
      <c r="C2" t="s">
        <v>222</v>
      </c>
      <c r="D2" t="s">
        <v>221</v>
      </c>
      <c r="E2" s="7" t="s">
        <v>224</v>
      </c>
      <c r="F2" s="7" t="s">
        <v>225</v>
      </c>
      <c r="G2" s="7" t="s">
        <v>224</v>
      </c>
      <c r="H2" s="7" t="s">
        <v>225</v>
      </c>
      <c r="I2" s="7" t="s">
        <v>224</v>
      </c>
      <c r="J2" s="7" t="s">
        <v>225</v>
      </c>
      <c r="K2" s="7" t="s">
        <v>224</v>
      </c>
      <c r="L2" s="7" t="s">
        <v>225</v>
      </c>
      <c r="M2" s="7" t="s">
        <v>224</v>
      </c>
      <c r="N2" s="7" t="s">
        <v>225</v>
      </c>
      <c r="O2" s="7" t="s">
        <v>224</v>
      </c>
      <c r="P2" s="7" t="s">
        <v>225</v>
      </c>
      <c r="Q2" s="7" t="s">
        <v>224</v>
      </c>
      <c r="R2" s="7" t="s">
        <v>225</v>
      </c>
      <c r="S2" s="7" t="s">
        <v>224</v>
      </c>
      <c r="T2" s="7" t="s">
        <v>225</v>
      </c>
      <c r="U2" s="7" t="s">
        <v>224</v>
      </c>
      <c r="V2" s="7" t="s">
        <v>225</v>
      </c>
      <c r="W2" s="7" t="s">
        <v>224</v>
      </c>
      <c r="X2" s="7" t="s">
        <v>225</v>
      </c>
      <c r="Y2" s="7" t="s">
        <v>224</v>
      </c>
      <c r="Z2" s="7" t="s">
        <v>225</v>
      </c>
    </row>
    <row r="3" spans="1:26">
      <c r="A3" t="s">
        <v>410</v>
      </c>
      <c r="B3">
        <v>0</v>
      </c>
      <c r="C3">
        <v>4</v>
      </c>
      <c r="D3">
        <v>2</v>
      </c>
      <c r="E3" s="7">
        <v>0.375</v>
      </c>
      <c r="F3" s="7">
        <v>0.625</v>
      </c>
      <c r="G3" s="7">
        <f>+IF(E3*24=9,15/24,9/24)</f>
        <v>0.625</v>
      </c>
      <c r="H3" s="7">
        <f>+IF(E3*24=9,21/24,15/24)</f>
        <v>0.875</v>
      </c>
      <c r="I3" s="7">
        <f>+IF(G3*24=9,15/24,9/24)</f>
        <v>0.375</v>
      </c>
      <c r="J3" s="7">
        <f>+IF(G3*24=9,21/24,15/24)</f>
        <v>0.625</v>
      </c>
      <c r="K3" s="7">
        <f>+IF(I3*24=9,15/24,9/24)</f>
        <v>0.625</v>
      </c>
      <c r="L3" s="7">
        <f>+IF(I3*24=9,21/24,15/24)</f>
        <v>0.875</v>
      </c>
      <c r="M3" s="7">
        <f>+IF(K3*24=9,15/24,9/24)</f>
        <v>0.375</v>
      </c>
      <c r="N3" s="7">
        <f>+IF(K3*24=9,21/24,15/24)</f>
        <v>0.625</v>
      </c>
      <c r="O3" s="7">
        <f>+IF(M3*24=9,15/24,9/24)</f>
        <v>0.625</v>
      </c>
      <c r="P3" s="7">
        <f>+IF(M3*24=9,21/24,15/24)</f>
        <v>0.875</v>
      </c>
      <c r="Q3" s="7">
        <f>+IF(O3*24=9,15/24,9/24)</f>
        <v>0.375</v>
      </c>
      <c r="R3" s="7">
        <f>+IF(O3*24=9,21/24,15/24)</f>
        <v>0.625</v>
      </c>
      <c r="S3" s="7">
        <f>+IF(Q3*24=9,15/24,9/24)</f>
        <v>0.625</v>
      </c>
      <c r="T3" s="7">
        <f>+IF(Q3*24=9,21/24,15/24)</f>
        <v>0.875</v>
      </c>
      <c r="U3" s="7">
        <f>+IF(S3*24=9,15/24,9/24)</f>
        <v>0.375</v>
      </c>
      <c r="V3" s="7">
        <f>+IF(S3*24=9,21/24,15/24)</f>
        <v>0.625</v>
      </c>
      <c r="W3" s="7">
        <f>+IF(U3*24=9,15/24,9/24)</f>
        <v>0.625</v>
      </c>
      <c r="X3" s="7">
        <f>+IF(U3*24=9,21/24,15/24)</f>
        <v>0.875</v>
      </c>
      <c r="Y3" s="7">
        <f>+IF(W3*24=9,15/24,9/24)</f>
        <v>0.375</v>
      </c>
      <c r="Z3" s="7">
        <f>+IF(W3*24=9,21/24,15/24)</f>
        <v>0.625</v>
      </c>
    </row>
    <row r="4" spans="1:26">
      <c r="A4" t="s">
        <v>411</v>
      </c>
      <c r="B4">
        <v>0</v>
      </c>
      <c r="C4">
        <v>4</v>
      </c>
      <c r="D4">
        <v>2</v>
      </c>
      <c r="E4" s="7">
        <v>0.375</v>
      </c>
      <c r="F4" s="7">
        <v>0.625</v>
      </c>
      <c r="G4" s="7">
        <f t="shared" ref="G4:G26" si="0">+IF(E4*24=9,15/24,9/24)</f>
        <v>0.625</v>
      </c>
      <c r="H4" s="7">
        <f t="shared" ref="H4:H26" si="1">+IF(E4*24=9,21/24,15/24)</f>
        <v>0.875</v>
      </c>
      <c r="I4" s="7">
        <f t="shared" ref="I4:I26" si="2">+IF(G4*24=9,15/24,9/24)</f>
        <v>0.375</v>
      </c>
      <c r="J4" s="7">
        <f t="shared" ref="J4:J26" si="3">+IF(G4*24=9,21/24,15/24)</f>
        <v>0.625</v>
      </c>
      <c r="K4" s="7">
        <f t="shared" ref="K4:K14" si="4">+IF(I4*24=9,15/24,9/24)</f>
        <v>0.625</v>
      </c>
      <c r="L4" s="7">
        <f t="shared" ref="L4:L14" si="5">+IF(I4*24=9,21/24,15/24)</f>
        <v>0.875</v>
      </c>
      <c r="M4" s="7">
        <f t="shared" ref="M4:M14" si="6">+IF(K4*24=9,15/24,9/24)</f>
        <v>0.375</v>
      </c>
      <c r="N4" s="7">
        <f t="shared" ref="N4:N14" si="7">+IF(K4*24=9,21/24,15/24)</f>
        <v>0.625</v>
      </c>
      <c r="O4" s="7">
        <f t="shared" ref="O4:O14" si="8">+IF(M4*24=9,15/24,9/24)</f>
        <v>0.625</v>
      </c>
      <c r="P4" s="7">
        <f t="shared" ref="P4:P14" si="9">+IF(M4*24=9,21/24,15/24)</f>
        <v>0.875</v>
      </c>
      <c r="Q4" s="7">
        <f t="shared" ref="Q4:Q14" si="10">+IF(O4*24=9,15/24,9/24)</f>
        <v>0.375</v>
      </c>
      <c r="R4" s="7">
        <f t="shared" ref="R4:R14" si="11">+IF(O4*24=9,21/24,15/24)</f>
        <v>0.625</v>
      </c>
      <c r="S4" s="7">
        <f t="shared" ref="S4:S14" si="12">+IF(Q4*24=9,15/24,9/24)</f>
        <v>0.625</v>
      </c>
      <c r="T4" s="7">
        <f t="shared" ref="T4:T14" si="13">+IF(Q4*24=9,21/24,15/24)</f>
        <v>0.875</v>
      </c>
      <c r="U4" s="7">
        <f t="shared" ref="U4:U14" si="14">+IF(S4*24=9,15/24,9/24)</f>
        <v>0.375</v>
      </c>
      <c r="V4" s="7">
        <f t="shared" ref="V4:V14" si="15">+IF(S4*24=9,21/24,15/24)</f>
        <v>0.625</v>
      </c>
      <c r="W4" s="7">
        <f t="shared" ref="W4:W14" si="16">+IF(U4*24=9,15/24,9/24)</f>
        <v>0.625</v>
      </c>
      <c r="X4" s="7">
        <f t="shared" ref="X4:X14" si="17">+IF(U4*24=9,21/24,15/24)</f>
        <v>0.875</v>
      </c>
      <c r="Y4" s="7">
        <f t="shared" ref="Y4:Y14" si="18">+IF(W4*24=9,15/24,9/24)</f>
        <v>0.375</v>
      </c>
      <c r="Z4" s="7">
        <f t="shared" ref="Z4:Z14" si="19">+IF(W4*24=9,21/24,15/24)</f>
        <v>0.625</v>
      </c>
    </row>
    <row r="5" spans="1:26">
      <c r="A5" t="s">
        <v>412</v>
      </c>
      <c r="B5">
        <v>0</v>
      </c>
      <c r="C5">
        <v>4</v>
      </c>
      <c r="D5">
        <v>2</v>
      </c>
      <c r="E5" s="7">
        <v>0.625</v>
      </c>
      <c r="F5" s="7">
        <v>0.875</v>
      </c>
      <c r="G5" s="7">
        <f t="shared" si="0"/>
        <v>0.375</v>
      </c>
      <c r="H5" s="7">
        <f t="shared" si="1"/>
        <v>0.625</v>
      </c>
      <c r="I5" s="7">
        <f t="shared" si="2"/>
        <v>0.625</v>
      </c>
      <c r="J5" s="7">
        <f t="shared" si="3"/>
        <v>0.875</v>
      </c>
      <c r="K5" s="7">
        <f t="shared" si="4"/>
        <v>0.375</v>
      </c>
      <c r="L5" s="7">
        <f t="shared" si="5"/>
        <v>0.625</v>
      </c>
      <c r="M5" s="7">
        <f t="shared" si="6"/>
        <v>0.625</v>
      </c>
      <c r="N5" s="7">
        <f t="shared" si="7"/>
        <v>0.875</v>
      </c>
      <c r="O5" s="7">
        <f t="shared" si="8"/>
        <v>0.375</v>
      </c>
      <c r="P5" s="7">
        <f t="shared" si="9"/>
        <v>0.625</v>
      </c>
      <c r="Q5" s="7">
        <f t="shared" si="10"/>
        <v>0.625</v>
      </c>
      <c r="R5" s="7">
        <f t="shared" si="11"/>
        <v>0.875</v>
      </c>
      <c r="S5" s="7">
        <f t="shared" si="12"/>
        <v>0.375</v>
      </c>
      <c r="T5" s="7">
        <f t="shared" si="13"/>
        <v>0.625</v>
      </c>
      <c r="U5" s="7">
        <f t="shared" si="14"/>
        <v>0.625</v>
      </c>
      <c r="V5" s="7">
        <f t="shared" si="15"/>
        <v>0.875</v>
      </c>
      <c r="W5" s="7">
        <f t="shared" si="16"/>
        <v>0.375</v>
      </c>
      <c r="X5" s="7">
        <f t="shared" si="17"/>
        <v>0.625</v>
      </c>
      <c r="Y5" s="7">
        <f t="shared" si="18"/>
        <v>0.625</v>
      </c>
      <c r="Z5" s="7">
        <f t="shared" si="19"/>
        <v>0.875</v>
      </c>
    </row>
    <row r="6" spans="1:26">
      <c r="A6" t="s">
        <v>413</v>
      </c>
      <c r="B6">
        <v>0</v>
      </c>
      <c r="C6">
        <v>4</v>
      </c>
      <c r="D6">
        <v>2</v>
      </c>
      <c r="E6" s="7">
        <v>0.625</v>
      </c>
      <c r="F6" s="7">
        <v>0.875</v>
      </c>
      <c r="G6" s="7">
        <f t="shared" si="0"/>
        <v>0.375</v>
      </c>
      <c r="H6" s="7">
        <f t="shared" si="1"/>
        <v>0.625</v>
      </c>
      <c r="I6" s="7">
        <f t="shared" si="2"/>
        <v>0.625</v>
      </c>
      <c r="J6" s="7">
        <f t="shared" si="3"/>
        <v>0.875</v>
      </c>
      <c r="K6" s="7">
        <f t="shared" si="4"/>
        <v>0.375</v>
      </c>
      <c r="L6" s="7">
        <f t="shared" si="5"/>
        <v>0.625</v>
      </c>
      <c r="M6" s="7">
        <f t="shared" si="6"/>
        <v>0.625</v>
      </c>
      <c r="N6" s="7">
        <f t="shared" si="7"/>
        <v>0.875</v>
      </c>
      <c r="O6" s="7">
        <f t="shared" si="8"/>
        <v>0.375</v>
      </c>
      <c r="P6" s="7">
        <f t="shared" si="9"/>
        <v>0.625</v>
      </c>
      <c r="Q6" s="7">
        <f t="shared" si="10"/>
        <v>0.625</v>
      </c>
      <c r="R6" s="7">
        <f t="shared" si="11"/>
        <v>0.875</v>
      </c>
      <c r="S6" s="7">
        <f t="shared" si="12"/>
        <v>0.375</v>
      </c>
      <c r="T6" s="7">
        <f t="shared" si="13"/>
        <v>0.625</v>
      </c>
      <c r="U6" s="7">
        <f t="shared" si="14"/>
        <v>0.625</v>
      </c>
      <c r="V6" s="7">
        <f t="shared" si="15"/>
        <v>0.875</v>
      </c>
      <c r="W6" s="7">
        <f t="shared" si="16"/>
        <v>0.375</v>
      </c>
      <c r="X6" s="7">
        <f t="shared" si="17"/>
        <v>0.625</v>
      </c>
      <c r="Y6" s="7">
        <f t="shared" si="18"/>
        <v>0.625</v>
      </c>
      <c r="Z6" s="7">
        <f t="shared" si="19"/>
        <v>0.875</v>
      </c>
    </row>
    <row r="7" spans="1:26">
      <c r="A7" t="s">
        <v>414</v>
      </c>
      <c r="B7">
        <v>0</v>
      </c>
      <c r="C7">
        <v>4</v>
      </c>
      <c r="D7">
        <v>2</v>
      </c>
      <c r="E7" s="7">
        <v>0.375</v>
      </c>
      <c r="F7" s="7">
        <v>0.625</v>
      </c>
      <c r="G7" s="7">
        <f t="shared" si="0"/>
        <v>0.625</v>
      </c>
      <c r="H7" s="7">
        <f t="shared" si="1"/>
        <v>0.875</v>
      </c>
      <c r="I7" s="7">
        <f t="shared" si="2"/>
        <v>0.375</v>
      </c>
      <c r="J7" s="7">
        <f t="shared" si="3"/>
        <v>0.625</v>
      </c>
      <c r="K7" s="7">
        <f t="shared" si="4"/>
        <v>0.625</v>
      </c>
      <c r="L7" s="7">
        <f t="shared" si="5"/>
        <v>0.875</v>
      </c>
      <c r="M7" s="7">
        <f t="shared" si="6"/>
        <v>0.375</v>
      </c>
      <c r="N7" s="7">
        <f t="shared" si="7"/>
        <v>0.625</v>
      </c>
      <c r="O7" s="7">
        <f t="shared" si="8"/>
        <v>0.625</v>
      </c>
      <c r="P7" s="7">
        <f t="shared" si="9"/>
        <v>0.875</v>
      </c>
      <c r="Q7" s="7">
        <f t="shared" si="10"/>
        <v>0.375</v>
      </c>
      <c r="R7" s="7">
        <f t="shared" si="11"/>
        <v>0.625</v>
      </c>
      <c r="S7" s="7">
        <f t="shared" si="12"/>
        <v>0.625</v>
      </c>
      <c r="T7" s="7">
        <f t="shared" si="13"/>
        <v>0.875</v>
      </c>
      <c r="U7" s="7">
        <f t="shared" si="14"/>
        <v>0.375</v>
      </c>
      <c r="V7" s="7">
        <f t="shared" si="15"/>
        <v>0.625</v>
      </c>
      <c r="W7" s="7">
        <f t="shared" si="16"/>
        <v>0.625</v>
      </c>
      <c r="X7" s="7">
        <f t="shared" si="17"/>
        <v>0.875</v>
      </c>
      <c r="Y7" s="7">
        <f t="shared" si="18"/>
        <v>0.375</v>
      </c>
      <c r="Z7" s="7">
        <f t="shared" si="19"/>
        <v>0.625</v>
      </c>
    </row>
    <row r="8" spans="1:26">
      <c r="A8" t="s">
        <v>415</v>
      </c>
      <c r="B8">
        <v>0</v>
      </c>
      <c r="C8">
        <v>4</v>
      </c>
      <c r="D8">
        <v>2</v>
      </c>
      <c r="E8" s="7">
        <v>0.625</v>
      </c>
      <c r="F8" s="7">
        <v>0.875</v>
      </c>
      <c r="G8" s="7">
        <f t="shared" si="0"/>
        <v>0.375</v>
      </c>
      <c r="H8" s="7">
        <f t="shared" si="1"/>
        <v>0.625</v>
      </c>
      <c r="I8" s="7">
        <f t="shared" si="2"/>
        <v>0.625</v>
      </c>
      <c r="J8" s="7">
        <f t="shared" si="3"/>
        <v>0.875</v>
      </c>
      <c r="K8" s="7">
        <f t="shared" si="4"/>
        <v>0.375</v>
      </c>
      <c r="L8" s="7">
        <f t="shared" si="5"/>
        <v>0.625</v>
      </c>
      <c r="M8" s="7">
        <f t="shared" si="6"/>
        <v>0.625</v>
      </c>
      <c r="N8" s="7">
        <f t="shared" si="7"/>
        <v>0.875</v>
      </c>
      <c r="O8" s="7">
        <f t="shared" si="8"/>
        <v>0.375</v>
      </c>
      <c r="P8" s="7">
        <f t="shared" si="9"/>
        <v>0.625</v>
      </c>
      <c r="Q8" s="7">
        <f t="shared" si="10"/>
        <v>0.625</v>
      </c>
      <c r="R8" s="7">
        <f t="shared" si="11"/>
        <v>0.875</v>
      </c>
      <c r="S8" s="7">
        <f t="shared" si="12"/>
        <v>0.375</v>
      </c>
      <c r="T8" s="7">
        <f t="shared" si="13"/>
        <v>0.625</v>
      </c>
      <c r="U8" s="7">
        <f t="shared" si="14"/>
        <v>0.625</v>
      </c>
      <c r="V8" s="7">
        <f t="shared" si="15"/>
        <v>0.875</v>
      </c>
      <c r="W8" s="7">
        <f t="shared" si="16"/>
        <v>0.375</v>
      </c>
      <c r="X8" s="7">
        <f t="shared" si="17"/>
        <v>0.625</v>
      </c>
      <c r="Y8" s="7">
        <f t="shared" si="18"/>
        <v>0.625</v>
      </c>
      <c r="Z8" s="7">
        <f t="shared" si="19"/>
        <v>0.875</v>
      </c>
    </row>
    <row r="9" spans="1:26">
      <c r="A9" t="s">
        <v>416</v>
      </c>
      <c r="B9">
        <v>0</v>
      </c>
      <c r="C9">
        <v>4</v>
      </c>
      <c r="D9">
        <v>2</v>
      </c>
      <c r="E9" s="7">
        <v>0.625</v>
      </c>
      <c r="F9" s="7">
        <v>0.875</v>
      </c>
      <c r="G9" s="7">
        <f t="shared" si="0"/>
        <v>0.375</v>
      </c>
      <c r="H9" s="7">
        <f t="shared" si="1"/>
        <v>0.625</v>
      </c>
      <c r="I9" s="7">
        <f t="shared" si="2"/>
        <v>0.625</v>
      </c>
      <c r="J9" s="7">
        <f t="shared" si="3"/>
        <v>0.875</v>
      </c>
      <c r="K9" s="7">
        <f t="shared" si="4"/>
        <v>0.375</v>
      </c>
      <c r="L9" s="7">
        <f t="shared" si="5"/>
        <v>0.625</v>
      </c>
      <c r="M9" s="7">
        <f t="shared" si="6"/>
        <v>0.625</v>
      </c>
      <c r="N9" s="7">
        <f t="shared" si="7"/>
        <v>0.875</v>
      </c>
      <c r="O9" s="7">
        <f t="shared" si="8"/>
        <v>0.375</v>
      </c>
      <c r="P9" s="7">
        <f t="shared" si="9"/>
        <v>0.625</v>
      </c>
      <c r="Q9" s="7">
        <f t="shared" si="10"/>
        <v>0.625</v>
      </c>
      <c r="R9" s="7">
        <f t="shared" si="11"/>
        <v>0.875</v>
      </c>
      <c r="S9" s="7">
        <f t="shared" si="12"/>
        <v>0.375</v>
      </c>
      <c r="T9" s="7">
        <f t="shared" si="13"/>
        <v>0.625</v>
      </c>
      <c r="U9" s="7">
        <f t="shared" si="14"/>
        <v>0.625</v>
      </c>
      <c r="V9" s="7">
        <f t="shared" si="15"/>
        <v>0.875</v>
      </c>
      <c r="W9" s="7">
        <f t="shared" si="16"/>
        <v>0.375</v>
      </c>
      <c r="X9" s="7">
        <f t="shared" si="17"/>
        <v>0.625</v>
      </c>
      <c r="Y9" s="7">
        <f t="shared" si="18"/>
        <v>0.625</v>
      </c>
      <c r="Z9" s="7">
        <f t="shared" si="19"/>
        <v>0.875</v>
      </c>
    </row>
    <row r="10" spans="1:26">
      <c r="A10" t="s">
        <v>417</v>
      </c>
      <c r="B10">
        <v>0</v>
      </c>
      <c r="C10">
        <v>4</v>
      </c>
      <c r="D10">
        <v>2</v>
      </c>
      <c r="E10" s="7">
        <v>0.625</v>
      </c>
      <c r="F10" s="7">
        <v>0.875</v>
      </c>
      <c r="G10" s="7">
        <f t="shared" si="0"/>
        <v>0.375</v>
      </c>
      <c r="H10" s="7">
        <f t="shared" si="1"/>
        <v>0.625</v>
      </c>
      <c r="I10" s="7">
        <f t="shared" si="2"/>
        <v>0.625</v>
      </c>
      <c r="J10" s="7">
        <f t="shared" si="3"/>
        <v>0.875</v>
      </c>
      <c r="K10" s="7">
        <f t="shared" si="4"/>
        <v>0.375</v>
      </c>
      <c r="L10" s="7">
        <f t="shared" si="5"/>
        <v>0.625</v>
      </c>
      <c r="M10" s="7">
        <f t="shared" si="6"/>
        <v>0.625</v>
      </c>
      <c r="N10" s="7">
        <f t="shared" si="7"/>
        <v>0.875</v>
      </c>
      <c r="O10" s="7">
        <f t="shared" si="8"/>
        <v>0.375</v>
      </c>
      <c r="P10" s="7">
        <f t="shared" si="9"/>
        <v>0.625</v>
      </c>
      <c r="Q10" s="7">
        <f t="shared" si="10"/>
        <v>0.625</v>
      </c>
      <c r="R10" s="7">
        <f t="shared" si="11"/>
        <v>0.875</v>
      </c>
      <c r="S10" s="7">
        <f t="shared" si="12"/>
        <v>0.375</v>
      </c>
      <c r="T10" s="7">
        <f t="shared" si="13"/>
        <v>0.625</v>
      </c>
      <c r="U10" s="7">
        <f t="shared" si="14"/>
        <v>0.625</v>
      </c>
      <c r="V10" s="7">
        <f t="shared" si="15"/>
        <v>0.875</v>
      </c>
      <c r="W10" s="7">
        <f t="shared" si="16"/>
        <v>0.375</v>
      </c>
      <c r="X10" s="7">
        <f t="shared" si="17"/>
        <v>0.625</v>
      </c>
      <c r="Y10" s="7">
        <f t="shared" si="18"/>
        <v>0.625</v>
      </c>
      <c r="Z10" s="7">
        <f t="shared" si="19"/>
        <v>0.875</v>
      </c>
    </row>
    <row r="11" spans="1:26">
      <c r="A11" t="s">
        <v>418</v>
      </c>
      <c r="B11">
        <v>0</v>
      </c>
      <c r="C11">
        <v>4</v>
      </c>
      <c r="D11">
        <v>2</v>
      </c>
      <c r="E11" s="7">
        <v>0.375</v>
      </c>
      <c r="F11" s="7">
        <v>0.625</v>
      </c>
      <c r="G11" s="7">
        <f t="shared" si="0"/>
        <v>0.625</v>
      </c>
      <c r="H11" s="7">
        <f t="shared" si="1"/>
        <v>0.875</v>
      </c>
      <c r="I11" s="7">
        <f t="shared" si="2"/>
        <v>0.375</v>
      </c>
      <c r="J11" s="7">
        <f t="shared" si="3"/>
        <v>0.625</v>
      </c>
      <c r="K11" s="7">
        <f t="shared" si="4"/>
        <v>0.625</v>
      </c>
      <c r="L11" s="7">
        <f t="shared" si="5"/>
        <v>0.875</v>
      </c>
      <c r="M11" s="7">
        <f t="shared" si="6"/>
        <v>0.375</v>
      </c>
      <c r="N11" s="7">
        <f t="shared" si="7"/>
        <v>0.625</v>
      </c>
      <c r="O11" s="7">
        <f t="shared" si="8"/>
        <v>0.625</v>
      </c>
      <c r="P11" s="7">
        <f t="shared" si="9"/>
        <v>0.875</v>
      </c>
      <c r="Q11" s="7">
        <f t="shared" si="10"/>
        <v>0.375</v>
      </c>
      <c r="R11" s="7">
        <f t="shared" si="11"/>
        <v>0.625</v>
      </c>
      <c r="S11" s="7">
        <f t="shared" si="12"/>
        <v>0.625</v>
      </c>
      <c r="T11" s="7">
        <f t="shared" si="13"/>
        <v>0.875</v>
      </c>
      <c r="U11" s="7">
        <f t="shared" si="14"/>
        <v>0.375</v>
      </c>
      <c r="V11" s="7">
        <f t="shared" si="15"/>
        <v>0.625</v>
      </c>
      <c r="W11" s="7">
        <f t="shared" si="16"/>
        <v>0.625</v>
      </c>
      <c r="X11" s="7">
        <f t="shared" si="17"/>
        <v>0.875</v>
      </c>
      <c r="Y11" s="7">
        <f t="shared" si="18"/>
        <v>0.375</v>
      </c>
      <c r="Z11" s="7">
        <f t="shared" si="19"/>
        <v>0.625</v>
      </c>
    </row>
    <row r="12" spans="1:26">
      <c r="A12" t="s">
        <v>419</v>
      </c>
      <c r="B12">
        <v>0</v>
      </c>
      <c r="C12">
        <v>4</v>
      </c>
      <c r="D12">
        <v>2</v>
      </c>
      <c r="E12" s="7">
        <v>0.375</v>
      </c>
      <c r="F12" s="7">
        <v>0.625</v>
      </c>
      <c r="G12" s="7">
        <f t="shared" si="0"/>
        <v>0.625</v>
      </c>
      <c r="H12" s="7">
        <f t="shared" si="1"/>
        <v>0.875</v>
      </c>
      <c r="I12" s="7">
        <f t="shared" si="2"/>
        <v>0.375</v>
      </c>
      <c r="J12" s="7">
        <f t="shared" si="3"/>
        <v>0.625</v>
      </c>
      <c r="K12" s="7">
        <f t="shared" si="4"/>
        <v>0.625</v>
      </c>
      <c r="L12" s="7">
        <f t="shared" si="5"/>
        <v>0.875</v>
      </c>
      <c r="M12" s="7">
        <f t="shared" si="6"/>
        <v>0.375</v>
      </c>
      <c r="N12" s="7">
        <f t="shared" si="7"/>
        <v>0.625</v>
      </c>
      <c r="O12" s="7">
        <f t="shared" si="8"/>
        <v>0.625</v>
      </c>
      <c r="P12" s="7">
        <f t="shared" si="9"/>
        <v>0.875</v>
      </c>
      <c r="Q12" s="7">
        <f t="shared" si="10"/>
        <v>0.375</v>
      </c>
      <c r="R12" s="7">
        <f t="shared" si="11"/>
        <v>0.625</v>
      </c>
      <c r="S12" s="7">
        <f t="shared" si="12"/>
        <v>0.625</v>
      </c>
      <c r="T12" s="7">
        <f t="shared" si="13"/>
        <v>0.875</v>
      </c>
      <c r="U12" s="7">
        <f t="shared" si="14"/>
        <v>0.375</v>
      </c>
      <c r="V12" s="7">
        <f t="shared" si="15"/>
        <v>0.625</v>
      </c>
      <c r="W12" s="7">
        <f t="shared" si="16"/>
        <v>0.625</v>
      </c>
      <c r="X12" s="7">
        <f t="shared" si="17"/>
        <v>0.875</v>
      </c>
      <c r="Y12" s="7">
        <f t="shared" si="18"/>
        <v>0.375</v>
      </c>
      <c r="Z12" s="7">
        <f t="shared" si="19"/>
        <v>0.625</v>
      </c>
    </row>
    <row r="13" spans="1:26">
      <c r="A13" t="s">
        <v>420</v>
      </c>
      <c r="B13">
        <v>0</v>
      </c>
      <c r="C13">
        <v>4</v>
      </c>
      <c r="D13">
        <v>2</v>
      </c>
      <c r="E13" s="7">
        <v>0.375</v>
      </c>
      <c r="F13" s="7">
        <v>0.625</v>
      </c>
      <c r="G13" s="7">
        <f t="shared" si="0"/>
        <v>0.625</v>
      </c>
      <c r="H13" s="7">
        <f t="shared" si="1"/>
        <v>0.875</v>
      </c>
      <c r="I13" s="7">
        <f t="shared" si="2"/>
        <v>0.375</v>
      </c>
      <c r="J13" s="7">
        <f t="shared" si="3"/>
        <v>0.625</v>
      </c>
      <c r="K13" s="7">
        <f t="shared" si="4"/>
        <v>0.625</v>
      </c>
      <c r="L13" s="7">
        <f t="shared" si="5"/>
        <v>0.875</v>
      </c>
      <c r="M13" s="7">
        <f t="shared" si="6"/>
        <v>0.375</v>
      </c>
      <c r="N13" s="7">
        <f t="shared" si="7"/>
        <v>0.625</v>
      </c>
      <c r="O13" s="7">
        <f t="shared" si="8"/>
        <v>0.625</v>
      </c>
      <c r="P13" s="7">
        <f t="shared" si="9"/>
        <v>0.875</v>
      </c>
      <c r="Q13" s="7">
        <f t="shared" si="10"/>
        <v>0.375</v>
      </c>
      <c r="R13" s="7">
        <f t="shared" si="11"/>
        <v>0.625</v>
      </c>
      <c r="S13" s="7">
        <f t="shared" si="12"/>
        <v>0.625</v>
      </c>
      <c r="T13" s="7">
        <f t="shared" si="13"/>
        <v>0.875</v>
      </c>
      <c r="U13" s="7">
        <f t="shared" si="14"/>
        <v>0.375</v>
      </c>
      <c r="V13" s="7">
        <f t="shared" si="15"/>
        <v>0.625</v>
      </c>
      <c r="W13" s="7">
        <f t="shared" si="16"/>
        <v>0.625</v>
      </c>
      <c r="X13" s="7">
        <f t="shared" si="17"/>
        <v>0.875</v>
      </c>
      <c r="Y13" s="7">
        <f t="shared" si="18"/>
        <v>0.375</v>
      </c>
      <c r="Z13" s="7">
        <f t="shared" si="19"/>
        <v>0.625</v>
      </c>
    </row>
    <row r="14" spans="1:26">
      <c r="A14" t="s">
        <v>421</v>
      </c>
      <c r="B14">
        <v>0</v>
      </c>
      <c r="C14">
        <v>4</v>
      </c>
      <c r="D14">
        <v>2</v>
      </c>
      <c r="E14" s="7">
        <v>0.375</v>
      </c>
      <c r="F14" s="7">
        <v>0.625</v>
      </c>
      <c r="G14" s="7">
        <f t="shared" si="0"/>
        <v>0.625</v>
      </c>
      <c r="H14" s="7">
        <f t="shared" si="1"/>
        <v>0.875</v>
      </c>
      <c r="I14" s="7">
        <f t="shared" si="2"/>
        <v>0.375</v>
      </c>
      <c r="J14" s="7">
        <f t="shared" si="3"/>
        <v>0.625</v>
      </c>
      <c r="K14" s="7">
        <f t="shared" si="4"/>
        <v>0.625</v>
      </c>
      <c r="L14" s="7">
        <f t="shared" si="5"/>
        <v>0.875</v>
      </c>
      <c r="M14" s="7">
        <f t="shared" si="6"/>
        <v>0.375</v>
      </c>
      <c r="N14" s="7">
        <f t="shared" si="7"/>
        <v>0.625</v>
      </c>
      <c r="O14" s="7">
        <f t="shared" si="8"/>
        <v>0.625</v>
      </c>
      <c r="P14" s="7">
        <f t="shared" si="9"/>
        <v>0.875</v>
      </c>
      <c r="Q14" s="7">
        <f t="shared" si="10"/>
        <v>0.375</v>
      </c>
      <c r="R14" s="7">
        <f t="shared" si="11"/>
        <v>0.625</v>
      </c>
      <c r="S14" s="7">
        <f t="shared" si="12"/>
        <v>0.625</v>
      </c>
      <c r="T14" s="7">
        <f t="shared" si="13"/>
        <v>0.875</v>
      </c>
      <c r="U14" s="7">
        <f t="shared" si="14"/>
        <v>0.375</v>
      </c>
      <c r="V14" s="7">
        <f t="shared" si="15"/>
        <v>0.625</v>
      </c>
      <c r="W14" s="7">
        <f t="shared" si="16"/>
        <v>0.625</v>
      </c>
      <c r="X14" s="7">
        <f t="shared" si="17"/>
        <v>0.875</v>
      </c>
      <c r="Y14" s="7">
        <f t="shared" si="18"/>
        <v>0.375</v>
      </c>
      <c r="Z14" s="7">
        <f t="shared" si="19"/>
        <v>0.625</v>
      </c>
    </row>
    <row r="15" spans="1:26">
      <c r="A15" t="s">
        <v>422</v>
      </c>
      <c r="B15" t="s">
        <v>450</v>
      </c>
      <c r="C15">
        <v>4</v>
      </c>
      <c r="D15">
        <v>2</v>
      </c>
      <c r="E15" s="7">
        <v>0.375</v>
      </c>
      <c r="F15" s="7">
        <v>0.54166666666666663</v>
      </c>
      <c r="G15" s="7">
        <f t="shared" si="0"/>
        <v>0.625</v>
      </c>
      <c r="H15" s="7">
        <f t="shared" si="1"/>
        <v>0.875</v>
      </c>
      <c r="I15" s="17">
        <v>0.375</v>
      </c>
      <c r="J15" s="17">
        <v>0.54166666666666663</v>
      </c>
      <c r="K15" s="17">
        <v>0.375</v>
      </c>
      <c r="L15" s="17">
        <v>0.54166666666666663</v>
      </c>
      <c r="M15" s="17">
        <v>0.375</v>
      </c>
      <c r="N15" s="17">
        <v>0.54166666666666663</v>
      </c>
      <c r="O15" s="17">
        <v>0.375</v>
      </c>
      <c r="P15" s="17">
        <v>0.54166666666666663</v>
      </c>
      <c r="Q15" s="17">
        <v>0.375</v>
      </c>
      <c r="R15" s="17">
        <v>0.54166666666666663</v>
      </c>
      <c r="S15" s="17">
        <v>0.375</v>
      </c>
      <c r="T15" s="17">
        <v>0.54166666666666663</v>
      </c>
      <c r="U15" s="17">
        <v>0.375</v>
      </c>
      <c r="V15" s="17">
        <v>0.54166666666666663</v>
      </c>
      <c r="W15" s="17">
        <v>0.375</v>
      </c>
      <c r="X15" s="17">
        <v>0.54166666666666663</v>
      </c>
      <c r="Y15" s="17">
        <v>0.375</v>
      </c>
      <c r="Z15" s="17">
        <v>0.54166666666666663</v>
      </c>
    </row>
    <row r="16" spans="1:26">
      <c r="A16" t="s">
        <v>423</v>
      </c>
      <c r="B16">
        <v>0</v>
      </c>
      <c r="C16">
        <v>4</v>
      </c>
      <c r="D16">
        <v>2</v>
      </c>
      <c r="E16" s="7">
        <v>0.625</v>
      </c>
      <c r="F16" s="7">
        <v>0.875</v>
      </c>
      <c r="G16" s="7">
        <f t="shared" si="0"/>
        <v>0.375</v>
      </c>
      <c r="H16" s="7">
        <f t="shared" si="1"/>
        <v>0.625</v>
      </c>
      <c r="I16" s="7">
        <f t="shared" si="2"/>
        <v>0.625</v>
      </c>
      <c r="J16" s="7">
        <f t="shared" si="3"/>
        <v>0.875</v>
      </c>
      <c r="K16" s="7">
        <f t="shared" ref="K16:K26" si="20">+IF(I16*24=9,15/24,9/24)</f>
        <v>0.375</v>
      </c>
      <c r="L16" s="7">
        <f t="shared" ref="L16:L26" si="21">+IF(I16*24=9,21/24,15/24)</f>
        <v>0.625</v>
      </c>
      <c r="M16" s="7">
        <f t="shared" ref="M16:M26" si="22">+IF(K16*24=9,15/24,9/24)</f>
        <v>0.625</v>
      </c>
      <c r="N16" s="7">
        <f t="shared" ref="N16:N26" si="23">+IF(K16*24=9,21/24,15/24)</f>
        <v>0.875</v>
      </c>
      <c r="O16" s="7">
        <f t="shared" ref="O16:O26" si="24">+IF(M16*24=9,15/24,9/24)</f>
        <v>0.375</v>
      </c>
      <c r="P16" s="7">
        <f t="shared" ref="P16:P26" si="25">+IF(M16*24=9,21/24,15/24)</f>
        <v>0.625</v>
      </c>
      <c r="Q16" s="7">
        <f t="shared" ref="Q16:Q26" si="26">+IF(O16*24=9,15/24,9/24)</f>
        <v>0.625</v>
      </c>
      <c r="R16" s="7">
        <f t="shared" ref="R16:R26" si="27">+IF(O16*24=9,21/24,15/24)</f>
        <v>0.875</v>
      </c>
      <c r="S16" s="7">
        <f t="shared" ref="S16:S26" si="28">+IF(Q16*24=9,15/24,9/24)</f>
        <v>0.375</v>
      </c>
      <c r="T16" s="7">
        <f t="shared" ref="T16:T26" si="29">+IF(Q16*24=9,21/24,15/24)</f>
        <v>0.625</v>
      </c>
      <c r="U16" s="7">
        <f t="shared" ref="U16:U26" si="30">+IF(S16*24=9,15/24,9/24)</f>
        <v>0.625</v>
      </c>
      <c r="V16" s="7">
        <f t="shared" ref="V16:V26" si="31">+IF(S16*24=9,21/24,15/24)</f>
        <v>0.875</v>
      </c>
      <c r="W16" s="7">
        <f t="shared" ref="W16:W26" si="32">+IF(U16*24=9,15/24,9/24)</f>
        <v>0.375</v>
      </c>
      <c r="X16" s="7">
        <f t="shared" ref="X16:X26" si="33">+IF(U16*24=9,21/24,15/24)</f>
        <v>0.625</v>
      </c>
      <c r="Y16" s="7">
        <f t="shared" ref="Y16:Y29" si="34">+IF(W16*24=9,15/24,9/24)</f>
        <v>0.625</v>
      </c>
      <c r="Z16" s="7">
        <f t="shared" ref="Z16:Z29" si="35">+IF(W16*24=9,21/24,15/24)</f>
        <v>0.875</v>
      </c>
    </row>
    <row r="17" spans="1:26">
      <c r="A17" t="s">
        <v>424</v>
      </c>
      <c r="B17">
        <v>0</v>
      </c>
      <c r="C17">
        <v>4</v>
      </c>
      <c r="D17">
        <v>2</v>
      </c>
      <c r="E17" s="7">
        <v>0.625</v>
      </c>
      <c r="F17" s="7">
        <v>0.875</v>
      </c>
      <c r="G17" s="7">
        <f t="shared" si="0"/>
        <v>0.375</v>
      </c>
      <c r="H17" s="7">
        <f t="shared" si="1"/>
        <v>0.625</v>
      </c>
      <c r="I17" s="7">
        <f t="shared" si="2"/>
        <v>0.625</v>
      </c>
      <c r="J17" s="7">
        <f t="shared" si="3"/>
        <v>0.875</v>
      </c>
      <c r="K17" s="7">
        <f t="shared" si="20"/>
        <v>0.375</v>
      </c>
      <c r="L17" s="7">
        <f t="shared" si="21"/>
        <v>0.625</v>
      </c>
      <c r="M17" s="7">
        <f t="shared" si="22"/>
        <v>0.625</v>
      </c>
      <c r="N17" s="7">
        <f t="shared" si="23"/>
        <v>0.875</v>
      </c>
      <c r="O17" s="7">
        <f t="shared" si="24"/>
        <v>0.375</v>
      </c>
      <c r="P17" s="7">
        <f t="shared" si="25"/>
        <v>0.625</v>
      </c>
      <c r="Q17" s="7">
        <f t="shared" si="26"/>
        <v>0.625</v>
      </c>
      <c r="R17" s="7">
        <f t="shared" si="27"/>
        <v>0.875</v>
      </c>
      <c r="S17" s="7">
        <f t="shared" si="28"/>
        <v>0.375</v>
      </c>
      <c r="T17" s="7">
        <f t="shared" si="29"/>
        <v>0.625</v>
      </c>
      <c r="U17" s="7">
        <f t="shared" si="30"/>
        <v>0.625</v>
      </c>
      <c r="V17" s="7">
        <f t="shared" si="31"/>
        <v>0.875</v>
      </c>
      <c r="W17" s="7">
        <f t="shared" si="32"/>
        <v>0.375</v>
      </c>
      <c r="X17" s="7">
        <f t="shared" si="33"/>
        <v>0.625</v>
      </c>
      <c r="Y17" s="7">
        <f t="shared" si="34"/>
        <v>0.625</v>
      </c>
      <c r="Z17" s="7">
        <f t="shared" si="35"/>
        <v>0.875</v>
      </c>
    </row>
    <row r="18" spans="1:26">
      <c r="A18" t="s">
        <v>425</v>
      </c>
      <c r="B18">
        <v>0</v>
      </c>
      <c r="C18">
        <v>4</v>
      </c>
      <c r="D18">
        <v>2</v>
      </c>
      <c r="E18" s="7">
        <v>0.625</v>
      </c>
      <c r="F18" s="7">
        <v>0.875</v>
      </c>
      <c r="G18" s="7">
        <f t="shared" si="0"/>
        <v>0.375</v>
      </c>
      <c r="H18" s="7">
        <f t="shared" si="1"/>
        <v>0.625</v>
      </c>
      <c r="I18" s="7">
        <f t="shared" si="2"/>
        <v>0.625</v>
      </c>
      <c r="J18" s="7">
        <f t="shared" si="3"/>
        <v>0.875</v>
      </c>
      <c r="K18" s="7">
        <f t="shared" si="20"/>
        <v>0.375</v>
      </c>
      <c r="L18" s="7">
        <f t="shared" si="21"/>
        <v>0.625</v>
      </c>
      <c r="M18" s="7">
        <f t="shared" si="22"/>
        <v>0.625</v>
      </c>
      <c r="N18" s="7">
        <f t="shared" si="23"/>
        <v>0.875</v>
      </c>
      <c r="O18" s="7">
        <f t="shared" si="24"/>
        <v>0.375</v>
      </c>
      <c r="P18" s="7">
        <f t="shared" si="25"/>
        <v>0.625</v>
      </c>
      <c r="Q18" s="7">
        <f t="shared" si="26"/>
        <v>0.625</v>
      </c>
      <c r="R18" s="7">
        <f t="shared" si="27"/>
        <v>0.875</v>
      </c>
      <c r="S18" s="7">
        <f t="shared" si="28"/>
        <v>0.375</v>
      </c>
      <c r="T18" s="7">
        <f t="shared" si="29"/>
        <v>0.625</v>
      </c>
      <c r="U18" s="7">
        <f t="shared" si="30"/>
        <v>0.625</v>
      </c>
      <c r="V18" s="7">
        <f t="shared" si="31"/>
        <v>0.875</v>
      </c>
      <c r="W18" s="7">
        <f t="shared" si="32"/>
        <v>0.375</v>
      </c>
      <c r="X18" s="7">
        <f t="shared" si="33"/>
        <v>0.625</v>
      </c>
      <c r="Y18" s="7">
        <f t="shared" si="34"/>
        <v>0.625</v>
      </c>
      <c r="Z18" s="7">
        <f t="shared" si="35"/>
        <v>0.875</v>
      </c>
    </row>
    <row r="19" spans="1:26">
      <c r="A19" t="s">
        <v>426</v>
      </c>
      <c r="B19">
        <v>0</v>
      </c>
      <c r="C19">
        <v>4</v>
      </c>
      <c r="D19">
        <v>2</v>
      </c>
      <c r="E19" s="7">
        <v>0.375</v>
      </c>
      <c r="F19" s="7">
        <v>0.625</v>
      </c>
      <c r="G19" s="7">
        <f t="shared" si="0"/>
        <v>0.625</v>
      </c>
      <c r="H19" s="7">
        <f t="shared" si="1"/>
        <v>0.875</v>
      </c>
      <c r="I19" s="7">
        <f t="shared" si="2"/>
        <v>0.375</v>
      </c>
      <c r="J19" s="7">
        <f t="shared" si="3"/>
        <v>0.625</v>
      </c>
      <c r="K19" s="7">
        <f t="shared" si="20"/>
        <v>0.625</v>
      </c>
      <c r="L19" s="7">
        <f t="shared" si="21"/>
        <v>0.875</v>
      </c>
      <c r="M19" s="7">
        <f t="shared" si="22"/>
        <v>0.375</v>
      </c>
      <c r="N19" s="7">
        <f t="shared" si="23"/>
        <v>0.625</v>
      </c>
      <c r="O19" s="7">
        <f t="shared" si="24"/>
        <v>0.625</v>
      </c>
      <c r="P19" s="7">
        <f t="shared" si="25"/>
        <v>0.875</v>
      </c>
      <c r="Q19" s="7">
        <f t="shared" si="26"/>
        <v>0.375</v>
      </c>
      <c r="R19" s="7">
        <f t="shared" si="27"/>
        <v>0.625</v>
      </c>
      <c r="S19" s="7">
        <f t="shared" si="28"/>
        <v>0.625</v>
      </c>
      <c r="T19" s="7">
        <f t="shared" si="29"/>
        <v>0.875</v>
      </c>
      <c r="U19" s="7">
        <f t="shared" si="30"/>
        <v>0.375</v>
      </c>
      <c r="V19" s="7">
        <f t="shared" si="31"/>
        <v>0.625</v>
      </c>
      <c r="W19" s="7">
        <f t="shared" si="32"/>
        <v>0.625</v>
      </c>
      <c r="X19" s="7">
        <f t="shared" si="33"/>
        <v>0.875</v>
      </c>
      <c r="Y19" s="7">
        <f t="shared" si="34"/>
        <v>0.375</v>
      </c>
      <c r="Z19" s="7">
        <f t="shared" si="35"/>
        <v>0.625</v>
      </c>
    </row>
    <row r="20" spans="1:26">
      <c r="A20" t="s">
        <v>427</v>
      </c>
      <c r="B20">
        <v>0</v>
      </c>
      <c r="C20">
        <v>4</v>
      </c>
      <c r="D20">
        <v>2</v>
      </c>
      <c r="E20" s="7">
        <v>0.375</v>
      </c>
      <c r="F20" s="7">
        <v>0.625</v>
      </c>
      <c r="G20" s="7">
        <f t="shared" si="0"/>
        <v>0.625</v>
      </c>
      <c r="H20" s="7">
        <f t="shared" si="1"/>
        <v>0.875</v>
      </c>
      <c r="I20" s="7">
        <f t="shared" si="2"/>
        <v>0.375</v>
      </c>
      <c r="J20" s="7">
        <f t="shared" si="3"/>
        <v>0.625</v>
      </c>
      <c r="K20" s="7">
        <f t="shared" si="20"/>
        <v>0.625</v>
      </c>
      <c r="L20" s="7">
        <f t="shared" si="21"/>
        <v>0.875</v>
      </c>
      <c r="M20" s="7">
        <f t="shared" si="22"/>
        <v>0.375</v>
      </c>
      <c r="N20" s="7">
        <f t="shared" si="23"/>
        <v>0.625</v>
      </c>
      <c r="O20" s="7">
        <f t="shared" si="24"/>
        <v>0.625</v>
      </c>
      <c r="P20" s="7">
        <f t="shared" si="25"/>
        <v>0.875</v>
      </c>
      <c r="Q20" s="7">
        <f t="shared" si="26"/>
        <v>0.375</v>
      </c>
      <c r="R20" s="7">
        <f t="shared" si="27"/>
        <v>0.625</v>
      </c>
      <c r="S20" s="7">
        <f t="shared" si="28"/>
        <v>0.625</v>
      </c>
      <c r="T20" s="7">
        <f t="shared" si="29"/>
        <v>0.875</v>
      </c>
      <c r="U20" s="7">
        <f t="shared" si="30"/>
        <v>0.375</v>
      </c>
      <c r="V20" s="7">
        <f t="shared" si="31"/>
        <v>0.625</v>
      </c>
      <c r="W20" s="7">
        <f t="shared" si="32"/>
        <v>0.625</v>
      </c>
      <c r="X20" s="7">
        <f t="shared" si="33"/>
        <v>0.875</v>
      </c>
      <c r="Y20" s="7">
        <f t="shared" si="34"/>
        <v>0.375</v>
      </c>
      <c r="Z20" s="7">
        <f t="shared" si="35"/>
        <v>0.625</v>
      </c>
    </row>
    <row r="21" spans="1:26">
      <c r="A21" t="s">
        <v>428</v>
      </c>
      <c r="B21">
        <v>0</v>
      </c>
      <c r="C21">
        <v>4</v>
      </c>
      <c r="D21">
        <v>2</v>
      </c>
      <c r="E21" s="7">
        <v>0.625</v>
      </c>
      <c r="F21" s="7">
        <v>0.875</v>
      </c>
      <c r="G21" s="7">
        <f t="shared" si="0"/>
        <v>0.375</v>
      </c>
      <c r="H21" s="7">
        <f t="shared" si="1"/>
        <v>0.625</v>
      </c>
      <c r="I21" s="7">
        <f t="shared" si="2"/>
        <v>0.625</v>
      </c>
      <c r="J21" s="7">
        <f t="shared" si="3"/>
        <v>0.875</v>
      </c>
      <c r="K21" s="7">
        <f t="shared" si="20"/>
        <v>0.375</v>
      </c>
      <c r="L21" s="7">
        <f t="shared" si="21"/>
        <v>0.625</v>
      </c>
      <c r="M21" s="7">
        <f t="shared" si="22"/>
        <v>0.625</v>
      </c>
      <c r="N21" s="7">
        <f t="shared" si="23"/>
        <v>0.875</v>
      </c>
      <c r="O21" s="7">
        <f t="shared" si="24"/>
        <v>0.375</v>
      </c>
      <c r="P21" s="7">
        <f t="shared" si="25"/>
        <v>0.625</v>
      </c>
      <c r="Q21" s="7">
        <f t="shared" si="26"/>
        <v>0.625</v>
      </c>
      <c r="R21" s="7">
        <f t="shared" si="27"/>
        <v>0.875</v>
      </c>
      <c r="S21" s="7">
        <f t="shared" si="28"/>
        <v>0.375</v>
      </c>
      <c r="T21" s="7">
        <f t="shared" si="29"/>
        <v>0.625</v>
      </c>
      <c r="U21" s="7">
        <f t="shared" si="30"/>
        <v>0.625</v>
      </c>
      <c r="V21" s="7">
        <f t="shared" si="31"/>
        <v>0.875</v>
      </c>
      <c r="W21" s="7">
        <f t="shared" si="32"/>
        <v>0.375</v>
      </c>
      <c r="X21" s="7">
        <f t="shared" si="33"/>
        <v>0.625</v>
      </c>
      <c r="Y21" s="7">
        <f t="shared" si="34"/>
        <v>0.625</v>
      </c>
      <c r="Z21" s="7">
        <f t="shared" si="35"/>
        <v>0.875</v>
      </c>
    </row>
    <row r="22" spans="1:26">
      <c r="A22" t="s">
        <v>429</v>
      </c>
      <c r="B22">
        <v>0</v>
      </c>
      <c r="C22">
        <v>4</v>
      </c>
      <c r="D22">
        <v>2</v>
      </c>
      <c r="E22" s="7">
        <v>0.625</v>
      </c>
      <c r="F22" s="7">
        <v>0.875</v>
      </c>
      <c r="G22" s="7">
        <f t="shared" si="0"/>
        <v>0.375</v>
      </c>
      <c r="H22" s="7">
        <f t="shared" si="1"/>
        <v>0.625</v>
      </c>
      <c r="I22" s="7">
        <f t="shared" si="2"/>
        <v>0.625</v>
      </c>
      <c r="J22" s="7">
        <f t="shared" si="3"/>
        <v>0.875</v>
      </c>
      <c r="K22" s="7">
        <f t="shared" si="20"/>
        <v>0.375</v>
      </c>
      <c r="L22" s="7">
        <f t="shared" si="21"/>
        <v>0.625</v>
      </c>
      <c r="M22" s="7">
        <f t="shared" si="22"/>
        <v>0.625</v>
      </c>
      <c r="N22" s="7">
        <f t="shared" si="23"/>
        <v>0.875</v>
      </c>
      <c r="O22" s="7">
        <f t="shared" si="24"/>
        <v>0.375</v>
      </c>
      <c r="P22" s="7">
        <f t="shared" si="25"/>
        <v>0.625</v>
      </c>
      <c r="Q22" s="7">
        <f t="shared" si="26"/>
        <v>0.625</v>
      </c>
      <c r="R22" s="7">
        <f t="shared" si="27"/>
        <v>0.875</v>
      </c>
      <c r="S22" s="7">
        <f t="shared" si="28"/>
        <v>0.375</v>
      </c>
      <c r="T22" s="7">
        <f t="shared" si="29"/>
        <v>0.625</v>
      </c>
      <c r="U22" s="7">
        <f t="shared" si="30"/>
        <v>0.625</v>
      </c>
      <c r="V22" s="7">
        <f t="shared" si="31"/>
        <v>0.875</v>
      </c>
      <c r="W22" s="7">
        <f t="shared" si="32"/>
        <v>0.375</v>
      </c>
      <c r="X22" s="7">
        <f t="shared" si="33"/>
        <v>0.625</v>
      </c>
      <c r="Y22" s="7">
        <f t="shared" si="34"/>
        <v>0.625</v>
      </c>
      <c r="Z22" s="7">
        <f t="shared" si="35"/>
        <v>0.875</v>
      </c>
    </row>
    <row r="23" spans="1:26">
      <c r="A23" t="s">
        <v>430</v>
      </c>
      <c r="B23">
        <v>0</v>
      </c>
      <c r="C23">
        <v>4</v>
      </c>
      <c r="D23">
        <v>2</v>
      </c>
      <c r="E23" s="7">
        <v>0.375</v>
      </c>
      <c r="F23" s="7">
        <v>0.625</v>
      </c>
      <c r="G23" s="7">
        <f t="shared" si="0"/>
        <v>0.625</v>
      </c>
      <c r="H23" s="7">
        <f t="shared" si="1"/>
        <v>0.875</v>
      </c>
      <c r="I23" s="7">
        <f t="shared" si="2"/>
        <v>0.375</v>
      </c>
      <c r="J23" s="7">
        <f t="shared" si="3"/>
        <v>0.625</v>
      </c>
      <c r="K23" s="7">
        <f t="shared" si="20"/>
        <v>0.625</v>
      </c>
      <c r="L23" s="7">
        <f t="shared" si="21"/>
        <v>0.875</v>
      </c>
      <c r="M23" s="7">
        <f t="shared" si="22"/>
        <v>0.375</v>
      </c>
      <c r="N23" s="7">
        <f t="shared" si="23"/>
        <v>0.625</v>
      </c>
      <c r="O23" s="7">
        <f t="shared" si="24"/>
        <v>0.625</v>
      </c>
      <c r="P23" s="7">
        <f t="shared" si="25"/>
        <v>0.875</v>
      </c>
      <c r="Q23" s="7">
        <f t="shared" si="26"/>
        <v>0.375</v>
      </c>
      <c r="R23" s="7">
        <f t="shared" si="27"/>
        <v>0.625</v>
      </c>
      <c r="S23" s="7">
        <f t="shared" si="28"/>
        <v>0.625</v>
      </c>
      <c r="T23" s="7">
        <f t="shared" si="29"/>
        <v>0.875</v>
      </c>
      <c r="U23" s="7">
        <f t="shared" si="30"/>
        <v>0.375</v>
      </c>
      <c r="V23" s="7">
        <f t="shared" si="31"/>
        <v>0.625</v>
      </c>
      <c r="W23" s="7">
        <f t="shared" si="32"/>
        <v>0.625</v>
      </c>
      <c r="X23" s="7">
        <f t="shared" si="33"/>
        <v>0.875</v>
      </c>
      <c r="Y23" s="7">
        <f t="shared" si="34"/>
        <v>0.375</v>
      </c>
      <c r="Z23" s="7">
        <f t="shared" si="35"/>
        <v>0.625</v>
      </c>
    </row>
    <row r="24" spans="1:26">
      <c r="A24" t="s">
        <v>431</v>
      </c>
      <c r="B24">
        <v>0</v>
      </c>
      <c r="C24">
        <v>4</v>
      </c>
      <c r="D24">
        <v>2</v>
      </c>
      <c r="E24" s="7">
        <v>0.625</v>
      </c>
      <c r="F24" s="7">
        <v>0.875</v>
      </c>
      <c r="G24" s="7">
        <f t="shared" si="0"/>
        <v>0.375</v>
      </c>
      <c r="H24" s="7">
        <f t="shared" si="1"/>
        <v>0.625</v>
      </c>
      <c r="I24" s="7">
        <f t="shared" si="2"/>
        <v>0.625</v>
      </c>
      <c r="J24" s="7">
        <f t="shared" si="3"/>
        <v>0.875</v>
      </c>
      <c r="K24" s="7">
        <f t="shared" si="20"/>
        <v>0.375</v>
      </c>
      <c r="L24" s="7">
        <f t="shared" si="21"/>
        <v>0.625</v>
      </c>
      <c r="M24" s="7">
        <f t="shared" si="22"/>
        <v>0.625</v>
      </c>
      <c r="N24" s="7">
        <f t="shared" si="23"/>
        <v>0.875</v>
      </c>
      <c r="O24" s="7">
        <f t="shared" si="24"/>
        <v>0.375</v>
      </c>
      <c r="P24" s="7">
        <f t="shared" si="25"/>
        <v>0.625</v>
      </c>
      <c r="Q24" s="7">
        <f t="shared" si="26"/>
        <v>0.625</v>
      </c>
      <c r="R24" s="7">
        <f t="shared" si="27"/>
        <v>0.875</v>
      </c>
      <c r="S24" s="7">
        <f t="shared" si="28"/>
        <v>0.375</v>
      </c>
      <c r="T24" s="7">
        <f t="shared" si="29"/>
        <v>0.625</v>
      </c>
      <c r="U24" s="7">
        <f t="shared" si="30"/>
        <v>0.625</v>
      </c>
      <c r="V24" s="7">
        <f t="shared" si="31"/>
        <v>0.875</v>
      </c>
      <c r="W24" s="7">
        <f t="shared" si="32"/>
        <v>0.375</v>
      </c>
      <c r="X24" s="7">
        <f t="shared" si="33"/>
        <v>0.625</v>
      </c>
      <c r="Y24" s="7">
        <f t="shared" si="34"/>
        <v>0.625</v>
      </c>
      <c r="Z24" s="7">
        <f t="shared" si="35"/>
        <v>0.875</v>
      </c>
    </row>
    <row r="25" spans="1:26">
      <c r="A25" t="s">
        <v>432</v>
      </c>
      <c r="B25">
        <v>0</v>
      </c>
      <c r="C25">
        <v>4</v>
      </c>
      <c r="D25">
        <v>2</v>
      </c>
      <c r="E25" s="7">
        <v>0.625</v>
      </c>
      <c r="F25" s="7">
        <v>0.875</v>
      </c>
      <c r="G25" s="7">
        <f t="shared" si="0"/>
        <v>0.375</v>
      </c>
      <c r="H25" s="7">
        <f t="shared" si="1"/>
        <v>0.625</v>
      </c>
      <c r="I25" s="7">
        <f t="shared" si="2"/>
        <v>0.625</v>
      </c>
      <c r="J25" s="7">
        <f t="shared" si="3"/>
        <v>0.875</v>
      </c>
      <c r="K25" s="7">
        <f t="shared" si="20"/>
        <v>0.375</v>
      </c>
      <c r="L25" s="7">
        <f t="shared" si="21"/>
        <v>0.625</v>
      </c>
      <c r="M25" s="7">
        <f t="shared" si="22"/>
        <v>0.625</v>
      </c>
      <c r="N25" s="7">
        <f t="shared" si="23"/>
        <v>0.875</v>
      </c>
      <c r="O25" s="7">
        <f t="shared" si="24"/>
        <v>0.375</v>
      </c>
      <c r="P25" s="7">
        <f t="shared" si="25"/>
        <v>0.625</v>
      </c>
      <c r="Q25" s="7">
        <f t="shared" si="26"/>
        <v>0.625</v>
      </c>
      <c r="R25" s="7">
        <f t="shared" si="27"/>
        <v>0.875</v>
      </c>
      <c r="S25" s="7">
        <f t="shared" si="28"/>
        <v>0.375</v>
      </c>
      <c r="T25" s="7">
        <f t="shared" si="29"/>
        <v>0.625</v>
      </c>
      <c r="U25" s="7">
        <f t="shared" si="30"/>
        <v>0.625</v>
      </c>
      <c r="V25" s="7">
        <f t="shared" si="31"/>
        <v>0.875</v>
      </c>
      <c r="W25" s="7">
        <f t="shared" si="32"/>
        <v>0.375</v>
      </c>
      <c r="X25" s="7">
        <f t="shared" si="33"/>
        <v>0.625</v>
      </c>
      <c r="Y25" s="7">
        <f t="shared" si="34"/>
        <v>0.625</v>
      </c>
      <c r="Z25" s="7">
        <f t="shared" si="35"/>
        <v>0.875</v>
      </c>
    </row>
    <row r="26" spans="1:26">
      <c r="A26" t="s">
        <v>433</v>
      </c>
      <c r="B26" t="s">
        <v>451</v>
      </c>
      <c r="C26">
        <v>4</v>
      </c>
      <c r="D26">
        <v>2</v>
      </c>
      <c r="E26" s="7">
        <v>0.375</v>
      </c>
      <c r="F26" s="7">
        <v>0.625</v>
      </c>
      <c r="G26" s="7">
        <f t="shared" si="0"/>
        <v>0.625</v>
      </c>
      <c r="H26" s="7">
        <f t="shared" si="1"/>
        <v>0.875</v>
      </c>
      <c r="I26" s="7">
        <f t="shared" si="2"/>
        <v>0.375</v>
      </c>
      <c r="J26" s="7">
        <f t="shared" si="3"/>
        <v>0.625</v>
      </c>
      <c r="K26" s="7">
        <f t="shared" si="20"/>
        <v>0.625</v>
      </c>
      <c r="L26" s="7">
        <f t="shared" si="21"/>
        <v>0.875</v>
      </c>
      <c r="M26" s="7">
        <f t="shared" si="22"/>
        <v>0.375</v>
      </c>
      <c r="N26" s="7">
        <f t="shared" si="23"/>
        <v>0.625</v>
      </c>
      <c r="O26" s="7">
        <f t="shared" si="24"/>
        <v>0.625</v>
      </c>
      <c r="P26" s="7">
        <f t="shared" si="25"/>
        <v>0.875</v>
      </c>
      <c r="Q26" s="7">
        <f t="shared" si="26"/>
        <v>0.375</v>
      </c>
      <c r="R26" s="7">
        <f t="shared" si="27"/>
        <v>0.625</v>
      </c>
      <c r="S26" s="7">
        <f t="shared" si="28"/>
        <v>0.625</v>
      </c>
      <c r="T26" s="7">
        <f t="shared" si="29"/>
        <v>0.875</v>
      </c>
      <c r="U26" s="7">
        <f t="shared" si="30"/>
        <v>0.375</v>
      </c>
      <c r="V26" s="7">
        <f t="shared" si="31"/>
        <v>0.625</v>
      </c>
      <c r="W26" s="7">
        <f t="shared" si="32"/>
        <v>0.625</v>
      </c>
      <c r="X26" s="7">
        <f t="shared" si="33"/>
        <v>0.875</v>
      </c>
      <c r="Y26" s="7">
        <f t="shared" si="34"/>
        <v>0.375</v>
      </c>
      <c r="Z26" s="7">
        <f t="shared" si="35"/>
        <v>0.625</v>
      </c>
    </row>
    <row r="27" spans="1:26">
      <c r="A27" t="s">
        <v>455</v>
      </c>
      <c r="M27" s="7">
        <v>0.375</v>
      </c>
      <c r="N27" s="7">
        <v>0.625</v>
      </c>
      <c r="O27" s="7">
        <f t="shared" ref="O27:O29" si="36">+IF(M27*24=9,15/24,9/24)</f>
        <v>0.625</v>
      </c>
      <c r="P27" s="7">
        <f t="shared" ref="P27:P29" si="37">+IF(M27*24=9,21/24,15/24)</f>
        <v>0.875</v>
      </c>
      <c r="Q27" s="7">
        <f t="shared" ref="Q27:Q29" si="38">+IF(O27*24=9,15/24,9/24)</f>
        <v>0.375</v>
      </c>
      <c r="R27" s="7">
        <f t="shared" ref="R27:R29" si="39">+IF(O27*24=9,21/24,15/24)</f>
        <v>0.625</v>
      </c>
      <c r="S27" s="7">
        <f t="shared" ref="S27:S29" si="40">+IF(Q27*24=9,15/24,9/24)</f>
        <v>0.625</v>
      </c>
      <c r="T27" s="7">
        <f t="shared" ref="T27:T29" si="41">+IF(Q27*24=9,21/24,15/24)</f>
        <v>0.875</v>
      </c>
      <c r="U27" s="7">
        <f t="shared" ref="U27:U29" si="42">+IF(S27*24=9,15/24,9/24)</f>
        <v>0.375</v>
      </c>
      <c r="V27" s="7">
        <f t="shared" ref="V27:V29" si="43">+IF(S27*24=9,21/24,15/24)</f>
        <v>0.625</v>
      </c>
      <c r="W27" s="7">
        <f t="shared" ref="W27:W29" si="44">+IF(U27*24=9,15/24,9/24)</f>
        <v>0.625</v>
      </c>
      <c r="X27" s="7">
        <f t="shared" ref="X27:X29" si="45">+IF(U27*24=9,21/24,15/24)</f>
        <v>0.875</v>
      </c>
      <c r="Y27" s="7">
        <f t="shared" si="34"/>
        <v>0.375</v>
      </c>
      <c r="Z27" s="7">
        <f t="shared" si="35"/>
        <v>0.625</v>
      </c>
    </row>
    <row r="28" spans="1:26">
      <c r="A28" t="s">
        <v>456</v>
      </c>
      <c r="M28" s="7">
        <v>0.375</v>
      </c>
      <c r="N28" s="7">
        <v>0.625</v>
      </c>
      <c r="O28" s="7">
        <f t="shared" si="36"/>
        <v>0.625</v>
      </c>
      <c r="P28" s="7">
        <f t="shared" si="37"/>
        <v>0.875</v>
      </c>
      <c r="Q28" s="7">
        <f t="shared" si="38"/>
        <v>0.375</v>
      </c>
      <c r="R28" s="7">
        <f t="shared" si="39"/>
        <v>0.625</v>
      </c>
      <c r="S28" s="7">
        <f t="shared" si="40"/>
        <v>0.625</v>
      </c>
      <c r="T28" s="7">
        <f t="shared" si="41"/>
        <v>0.875</v>
      </c>
      <c r="U28" s="7">
        <f t="shared" si="42"/>
        <v>0.375</v>
      </c>
      <c r="V28" s="7">
        <f t="shared" si="43"/>
        <v>0.625</v>
      </c>
      <c r="W28" s="7">
        <f t="shared" si="44"/>
        <v>0.625</v>
      </c>
      <c r="X28" s="7">
        <f t="shared" si="45"/>
        <v>0.875</v>
      </c>
      <c r="Y28" s="7">
        <f t="shared" si="34"/>
        <v>0.375</v>
      </c>
      <c r="Z28" s="7">
        <f t="shared" si="35"/>
        <v>0.625</v>
      </c>
    </row>
    <row r="29" spans="1:26">
      <c r="A29" t="s">
        <v>457</v>
      </c>
      <c r="M29" s="7">
        <v>0.375</v>
      </c>
      <c r="N29" s="7">
        <v>0.625</v>
      </c>
      <c r="O29" s="7">
        <f t="shared" si="36"/>
        <v>0.625</v>
      </c>
      <c r="P29" s="7">
        <f t="shared" si="37"/>
        <v>0.875</v>
      </c>
      <c r="Q29" s="7">
        <f t="shared" si="38"/>
        <v>0.375</v>
      </c>
      <c r="R29" s="7">
        <f t="shared" si="39"/>
        <v>0.625</v>
      </c>
      <c r="S29" s="7">
        <f t="shared" si="40"/>
        <v>0.625</v>
      </c>
      <c r="T29" s="7">
        <f t="shared" si="41"/>
        <v>0.875</v>
      </c>
      <c r="U29" s="7">
        <f t="shared" si="42"/>
        <v>0.375</v>
      </c>
      <c r="V29" s="7">
        <f t="shared" si="43"/>
        <v>0.625</v>
      </c>
      <c r="W29" s="7">
        <f t="shared" si="44"/>
        <v>0.625</v>
      </c>
      <c r="X29" s="7">
        <f t="shared" si="45"/>
        <v>0.875</v>
      </c>
      <c r="Y29" s="7">
        <f t="shared" si="34"/>
        <v>0.375</v>
      </c>
      <c r="Z29" s="7">
        <f t="shared" si="35"/>
        <v>0.625</v>
      </c>
    </row>
    <row r="30" spans="1:26">
      <c r="A30" t="s">
        <v>458</v>
      </c>
      <c r="M30" s="17">
        <v>0.375</v>
      </c>
      <c r="N30" s="17">
        <v>0.54166666666666663</v>
      </c>
      <c r="O30" s="17">
        <v>0.375</v>
      </c>
      <c r="P30" s="17">
        <v>0.54166666666666663</v>
      </c>
      <c r="Q30" s="17">
        <v>0.375</v>
      </c>
      <c r="R30" s="17">
        <v>0.54166666666666663</v>
      </c>
      <c r="S30" s="17">
        <v>0.375</v>
      </c>
      <c r="T30" s="17">
        <v>0.54166666666666663</v>
      </c>
      <c r="U30" s="17">
        <v>0.375</v>
      </c>
      <c r="V30" s="17">
        <v>0.54166666666666663</v>
      </c>
      <c r="W30" s="17">
        <v>0.375</v>
      </c>
      <c r="X30" s="17">
        <v>0.54166666666666663</v>
      </c>
      <c r="Y30" s="17">
        <v>0.375</v>
      </c>
      <c r="Z30" s="17">
        <v>0.54166666666666663</v>
      </c>
    </row>
  </sheetData>
  <mergeCells count="11">
    <mergeCell ref="Y1:Z1"/>
    <mergeCell ref="E1:F1"/>
    <mergeCell ref="G1:H1"/>
    <mergeCell ref="I1:J1"/>
    <mergeCell ref="K1:L1"/>
    <mergeCell ref="M1:N1"/>
    <mergeCell ref="W1:X1"/>
    <mergeCell ref="U1:V1"/>
    <mergeCell ref="S1:T1"/>
    <mergeCell ref="Q1:R1"/>
    <mergeCell ref="O1:P1"/>
  </mergeCells>
  <conditionalFormatting sqref="B27:B30">
    <cfRule type="duplicateValues" dxfId="2" priority="2"/>
  </conditionalFormatting>
  <conditionalFormatting sqref="A27:A30">
    <cfRule type="duplicateValues" dxfId="1" priority="1"/>
  </conditionalFormatting>
  <conditionalFormatting sqref="A3:B26">
    <cfRule type="duplicateValues" dxfId="0" priority="9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40462-219B-447F-8BA0-2C380074A979}">
  <sheetPr codeName="Foglio3"/>
  <dimension ref="A1:S33"/>
  <sheetViews>
    <sheetView zoomScale="80" zoomScaleNormal="80" workbookViewId="0">
      <selection activeCell="X28" sqref="X28"/>
    </sheetView>
  </sheetViews>
  <sheetFormatPr defaultRowHeight="15"/>
  <cols>
    <col min="1" max="1" width="17.28515625" bestFit="1" customWidth="1"/>
    <col min="2" max="7" width="10.5703125" style="4" bestFit="1" customWidth="1"/>
    <col min="8" max="8" width="9" style="4" bestFit="1" customWidth="1"/>
    <col min="10" max="10" width="16.7109375" bestFit="1" customWidth="1"/>
  </cols>
  <sheetData>
    <row r="1" spans="1:19">
      <c r="B1" s="4" t="s">
        <v>403</v>
      </c>
      <c r="C1" s="4" t="s">
        <v>404</v>
      </c>
      <c r="D1" s="4" t="s">
        <v>405</v>
      </c>
      <c r="E1" s="4" t="s">
        <v>406</v>
      </c>
      <c r="F1" s="4" t="s">
        <v>407</v>
      </c>
      <c r="G1" s="4" t="s">
        <v>408</v>
      </c>
      <c r="H1" s="4" t="s">
        <v>409</v>
      </c>
      <c r="J1" s="4" t="s">
        <v>449</v>
      </c>
      <c r="K1" s="4" t="s">
        <v>403</v>
      </c>
      <c r="L1" s="4" t="s">
        <v>404</v>
      </c>
      <c r="M1" s="4" t="s">
        <v>405</v>
      </c>
      <c r="N1" s="4" t="s">
        <v>406</v>
      </c>
      <c r="O1" s="4" t="s">
        <v>407</v>
      </c>
      <c r="P1" s="4" t="s">
        <v>408</v>
      </c>
      <c r="Q1" s="4" t="s">
        <v>409</v>
      </c>
    </row>
    <row r="2" spans="1:19">
      <c r="A2" t="str">
        <f>+Risorse!B2</f>
        <v>Filomena Faccenda</v>
      </c>
      <c r="B2" s="15" t="str" cm="1">
        <f t="array" aca="1" ref="B2" ca="1">+IF(IFERROR(TEXT(INDEX(INDIRECT("Pianificazione!e1:e300"),MATCH($A2&amp;B$1,INDIRECT("Pianificazione!c1:c300")&amp;INDIRECT("Pianificazione!a1:a300"),0)),"hh:mm"),"")&amp;"-"&amp;IFERROR(TEXT(INDEX(INDIRECT("Pianificazione!f1:f300"),MATCH($A2&amp;B$1,INDIRECT("Pianificazione!c1:c300")&amp;INDIRECT("Pianificazione!a1:a300"),0)),"hh:mm"),"")="-","Riposo",IFERROR(TEXT(INDEX(INDIRECT("Pianificazione!e1:e300"),MATCH($A2&amp;B$1,INDIRECT("Pianificazione!c1:c300")&amp;INDIRECT("Pianificazione!a1:a300"),0)),"hh:mm"),"")&amp;"-"&amp;IFERROR(TEXT(INDEX(INDIRECT("Pianificazione!f1:f300"),MATCH($A2&amp;B$1,INDIRECT("Pianificazione!c1:c300")&amp;INDIRECT("Pianificazione!a1:a300"),0)),"hh:mm"),""))</f>
        <v>Riposo</v>
      </c>
      <c r="C2" s="15" t="str" cm="1">
        <f t="array" aca="1" ref="C2" ca="1">+IF(IFERROR(TEXT(INDEX(INDIRECT("Pianificazione!e1:e300"),MATCH($A2&amp;C$1,INDIRECT("Pianificazione!c1:c300")&amp;INDIRECT("Pianificazione!a1:a300"),0)),"hh:mm"),"")&amp;"-"&amp;IFERROR(TEXT(INDEX(INDIRECT("Pianificazione!f1:f300"),MATCH($A2&amp;C$1,INDIRECT("Pianificazione!c1:c300")&amp;INDIRECT("Pianificazione!a1:a300"),0)),"hh:mm"),"")="-","Riposo",IFERROR(TEXT(INDEX(INDIRECT("Pianificazione!e1:e300"),MATCH($A2&amp;C$1,INDIRECT("Pianificazione!c1:c300")&amp;INDIRECT("Pianificazione!a1:a300"),0)),"hh:mm"),"")&amp;"-"&amp;IFERROR(TEXT(INDEX(INDIRECT("Pianificazione!f1:f300"),MATCH($A2&amp;C$1,INDIRECT("Pianificazione!c1:c300")&amp;INDIRECT("Pianificazione!a1:a300"),0)),"hh:mm"),""))</f>
        <v>Riposo</v>
      </c>
      <c r="D2" s="15" t="str" cm="1">
        <f t="array" aca="1" ref="D2" ca="1">+IF(IFERROR(TEXT(INDEX(INDIRECT("Pianificazione!e1:e300"),MATCH($A2&amp;D$1,INDIRECT("Pianificazione!c1:c300")&amp;INDIRECT("Pianificazione!a1:a300"),0)),"hh:mm"),"")&amp;"-"&amp;IFERROR(TEXT(INDEX(INDIRECT("Pianificazione!f1:f300"),MATCH($A2&amp;D$1,INDIRECT("Pianificazione!c1:c300")&amp;INDIRECT("Pianificazione!a1:a300"),0)),"hh:mm"),"")="-","Riposo",IFERROR(TEXT(INDEX(INDIRECT("Pianificazione!e1:e300"),MATCH($A2&amp;D$1,INDIRECT("Pianificazione!c1:c300")&amp;INDIRECT("Pianificazione!a1:a300"),0)),"hh:mm"),"")&amp;"-"&amp;IFERROR(TEXT(INDEX(INDIRECT("Pianificazione!f1:f300"),MATCH($A2&amp;D$1,INDIRECT("Pianificazione!c1:c300")&amp;INDIRECT("Pianificazione!a1:a300"),0)),"hh:mm"),""))</f>
        <v>Riposo</v>
      </c>
      <c r="E2" s="15" t="str" cm="1">
        <f t="array" aca="1" ref="E2" ca="1">+IF(IFERROR(TEXT(INDEX(INDIRECT("Pianificazione!e1:e300"),MATCH($A2&amp;E$1,INDIRECT("Pianificazione!c1:c300")&amp;INDIRECT("Pianificazione!a1:a300"),0)),"hh:mm"),"")&amp;"-"&amp;IFERROR(TEXT(INDEX(INDIRECT("Pianificazione!f1:f300"),MATCH($A2&amp;E$1,INDIRECT("Pianificazione!c1:c300")&amp;INDIRECT("Pianificazione!a1:a300"),0)),"hh:mm"),"")="-","Riposo",IFERROR(TEXT(INDEX(INDIRECT("Pianificazione!e1:e300"),MATCH($A2&amp;E$1,INDIRECT("Pianificazione!c1:c300")&amp;INDIRECT("Pianificazione!a1:a300"),0)),"hh:mm"),"")&amp;"-"&amp;IFERROR(TEXT(INDEX(INDIRECT("Pianificazione!f1:f300"),MATCH($A2&amp;E$1,INDIRECT("Pianificazione!c1:c300")&amp;INDIRECT("Pianificazione!a1:a300"),0)),"hh:mm"),""))</f>
        <v>Riposo</v>
      </c>
      <c r="F2" s="15" t="str" cm="1">
        <f t="array" aca="1" ref="F2" ca="1">+IF(IFERROR(TEXT(INDEX(INDIRECT("Pianificazione!e1:e300"),MATCH($A2&amp;F$1,INDIRECT("Pianificazione!c1:c300")&amp;INDIRECT("Pianificazione!a1:a300"),0)),"hh:mm"),"")&amp;"-"&amp;IFERROR(TEXT(INDEX(INDIRECT("Pianificazione!f1:f300"),MATCH($A2&amp;F$1,INDIRECT("Pianificazione!c1:c300")&amp;INDIRECT("Pianificazione!a1:a300"),0)),"hh:mm"),"")="-","Riposo",IFERROR(TEXT(INDEX(INDIRECT("Pianificazione!e1:e300"),MATCH($A2&amp;F$1,INDIRECT("Pianificazione!c1:c300")&amp;INDIRECT("Pianificazione!a1:a300"),0)),"hh:mm"),"")&amp;"-"&amp;IFERROR(TEXT(INDEX(INDIRECT("Pianificazione!f1:f300"),MATCH($A2&amp;F$1,INDIRECT("Pianificazione!c1:c300")&amp;INDIRECT("Pianificazione!a1:a300"),0)),"hh:mm"),""))</f>
        <v>Riposo</v>
      </c>
      <c r="G2" s="15" t="str" cm="1">
        <f t="array" aca="1" ref="G2" ca="1">+IF(IFERROR(TEXT(INDEX(INDIRECT("Pianificazione!e1:e300"),MATCH($A2&amp;G$1,INDIRECT("Pianificazione!c1:c300")&amp;INDIRECT("Pianificazione!a1:a300"),0)),"hh:mm"),"")&amp;"-"&amp;IFERROR(TEXT(INDEX(INDIRECT("Pianificazione!f1:f300"),MATCH($A2&amp;G$1,INDIRECT("Pianificazione!c1:c300")&amp;INDIRECT("Pianificazione!a1:a300"),0)),"hh:mm"),"")="-","Riposo",IFERROR(TEXT(INDEX(INDIRECT("Pianificazione!e1:e300"),MATCH($A2&amp;G$1,INDIRECT("Pianificazione!c1:c300")&amp;INDIRECT("Pianificazione!a1:a300"),0)),"hh:mm"),"")&amp;"-"&amp;IFERROR(TEXT(INDEX(INDIRECT("Pianificazione!f1:f300"),MATCH($A2&amp;G$1,INDIRECT("Pianificazione!c1:c300")&amp;INDIRECT("Pianificazione!a1:a300"),0)),"hh:mm"),""))</f>
        <v>Riposo</v>
      </c>
      <c r="H2" s="15" t="str" cm="1">
        <f t="array" aca="1" ref="H2" ca="1">+IF(IFERROR(TEXT(INDEX(INDIRECT("Pianificazione!e1:e300"),MATCH($A2&amp;H$1,INDIRECT("Pianificazione!c1:c300")&amp;INDIRECT("Pianificazione!a1:a300"),0)),"hh:mm"),"")&amp;"-"&amp;IFERROR(TEXT(INDEX(INDIRECT("Pianificazione!f1:f300"),MATCH($A2&amp;H$1,INDIRECT("Pianificazione!c1:c300")&amp;INDIRECT("Pianificazione!a1:a300"),0)),"hh:mm"),"")="-","Riposo",IFERROR(TEXT(INDEX(INDIRECT("Pianificazione!e1:e300"),MATCH($A2&amp;H$1,INDIRECT("Pianificazione!c1:c300")&amp;INDIRECT("Pianificazione!a1:a300"),0)),"hh:mm"),"")&amp;"-"&amp;IFERROR(TEXT(INDEX(INDIRECT("Pianificazione!f1:f300"),MATCH($A2&amp;H$1,INDIRECT("Pianificazione!c1:c300")&amp;INDIRECT("Pianificazione!a1:a300"),0)),"hh:mm"),""))</f>
        <v>Riposo</v>
      </c>
      <c r="J2" s="4">
        <v>1</v>
      </c>
      <c r="S2" s="4">
        <v>16</v>
      </c>
    </row>
    <row r="3" spans="1:19">
      <c r="A3" t="str">
        <f>+Risorse!B3</f>
        <v>Alfredo Saviano</v>
      </c>
      <c r="B3" s="15" t="str" cm="1">
        <f t="array" aca="1" ref="B3" ca="1">+IF(IFERROR(TEXT(INDEX(INDIRECT("Pianificazione!e1:e300"),MATCH($A3&amp;B$1,INDIRECT("Pianificazione!c1:c300")&amp;INDIRECT("Pianificazione!a1:a300"),0)),"hh:mm"),"")&amp;"-"&amp;IFERROR(TEXT(INDEX(INDIRECT("Pianificazione!f1:f300"),MATCH($A3&amp;B$1,INDIRECT("Pianificazione!c1:c300")&amp;INDIRECT("Pianificazione!a1:a300"),0)),"hh:mm"),"")="-","Riposo",IFERROR(TEXT(INDEX(INDIRECT("Pianificazione!e1:e300"),MATCH($A3&amp;B$1,INDIRECT("Pianificazione!c1:c300")&amp;INDIRECT("Pianificazione!a1:a300"),0)),"hh:mm"),"")&amp;"-"&amp;IFERROR(TEXT(INDEX(INDIRECT("Pianificazione!f1:f300"),MATCH($A3&amp;B$1,INDIRECT("Pianificazione!c1:c300")&amp;INDIRECT("Pianificazione!a1:a300"),0)),"hh:mm"),""))</f>
        <v>Riposo</v>
      </c>
      <c r="C3" s="15" t="str" cm="1">
        <f t="array" aca="1" ref="C3" ca="1">+IF(IFERROR(TEXT(INDEX(INDIRECT("Pianificazione!e1:e300"),MATCH($A3&amp;C$1,INDIRECT("Pianificazione!c1:c300")&amp;INDIRECT("Pianificazione!a1:a300"),0)),"hh:mm"),"")&amp;"-"&amp;IFERROR(TEXT(INDEX(INDIRECT("Pianificazione!f1:f300"),MATCH($A3&amp;C$1,INDIRECT("Pianificazione!c1:c300")&amp;INDIRECT("Pianificazione!a1:a300"),0)),"hh:mm"),"")="-","Riposo",IFERROR(TEXT(INDEX(INDIRECT("Pianificazione!e1:e300"),MATCH($A3&amp;C$1,INDIRECT("Pianificazione!c1:c300")&amp;INDIRECT("Pianificazione!a1:a300"),0)),"hh:mm"),"")&amp;"-"&amp;IFERROR(TEXT(INDEX(INDIRECT("Pianificazione!f1:f300"),MATCH($A3&amp;C$1,INDIRECT("Pianificazione!c1:c300")&amp;INDIRECT("Pianificazione!a1:a300"),0)),"hh:mm"),""))</f>
        <v>Riposo</v>
      </c>
      <c r="D3" s="15" t="str" cm="1">
        <f t="array" aca="1" ref="D3" ca="1">+IF(IFERROR(TEXT(INDEX(INDIRECT("Pianificazione!e1:e300"),MATCH($A3&amp;D$1,INDIRECT("Pianificazione!c1:c300")&amp;INDIRECT("Pianificazione!a1:a300"),0)),"hh:mm"),"")&amp;"-"&amp;IFERROR(TEXT(INDEX(INDIRECT("Pianificazione!f1:f300"),MATCH($A3&amp;D$1,INDIRECT("Pianificazione!c1:c300")&amp;INDIRECT("Pianificazione!a1:a300"),0)),"hh:mm"),"")="-","Riposo",IFERROR(TEXT(INDEX(INDIRECT("Pianificazione!e1:e300"),MATCH($A3&amp;D$1,INDIRECT("Pianificazione!c1:c300")&amp;INDIRECT("Pianificazione!a1:a300"),0)),"hh:mm"),"")&amp;"-"&amp;IFERROR(TEXT(INDEX(INDIRECT("Pianificazione!f1:f300"),MATCH($A3&amp;D$1,INDIRECT("Pianificazione!c1:c300")&amp;INDIRECT("Pianificazione!a1:a300"),0)),"hh:mm"),""))</f>
        <v>Riposo</v>
      </c>
      <c r="E3" s="15" t="str" cm="1">
        <f t="array" aca="1" ref="E3" ca="1">+IF(IFERROR(TEXT(INDEX(INDIRECT("Pianificazione!e1:e300"),MATCH($A3&amp;E$1,INDIRECT("Pianificazione!c1:c300")&amp;INDIRECT("Pianificazione!a1:a300"),0)),"hh:mm"),"")&amp;"-"&amp;IFERROR(TEXT(INDEX(INDIRECT("Pianificazione!f1:f300"),MATCH($A3&amp;E$1,INDIRECT("Pianificazione!c1:c300")&amp;INDIRECT("Pianificazione!a1:a300"),0)),"hh:mm"),"")="-","Riposo",IFERROR(TEXT(INDEX(INDIRECT("Pianificazione!e1:e300"),MATCH($A3&amp;E$1,INDIRECT("Pianificazione!c1:c300")&amp;INDIRECT("Pianificazione!a1:a300"),0)),"hh:mm"),"")&amp;"-"&amp;IFERROR(TEXT(INDEX(INDIRECT("Pianificazione!f1:f300"),MATCH($A3&amp;E$1,INDIRECT("Pianificazione!c1:c300")&amp;INDIRECT("Pianificazione!a1:a300"),0)),"hh:mm"),""))</f>
        <v>Riposo</v>
      </c>
      <c r="F3" s="15" t="str" cm="1">
        <f t="array" aca="1" ref="F3" ca="1">+IF(IFERROR(TEXT(INDEX(INDIRECT("Pianificazione!e1:e300"),MATCH($A3&amp;F$1,INDIRECT("Pianificazione!c1:c300")&amp;INDIRECT("Pianificazione!a1:a300"),0)),"hh:mm"),"")&amp;"-"&amp;IFERROR(TEXT(INDEX(INDIRECT("Pianificazione!f1:f300"),MATCH($A3&amp;F$1,INDIRECT("Pianificazione!c1:c300")&amp;INDIRECT("Pianificazione!a1:a300"),0)),"hh:mm"),"")="-","Riposo",IFERROR(TEXT(INDEX(INDIRECT("Pianificazione!e1:e300"),MATCH($A3&amp;F$1,INDIRECT("Pianificazione!c1:c300")&amp;INDIRECT("Pianificazione!a1:a300"),0)),"hh:mm"),"")&amp;"-"&amp;IFERROR(TEXT(INDEX(INDIRECT("Pianificazione!f1:f300"),MATCH($A3&amp;F$1,INDIRECT("Pianificazione!c1:c300")&amp;INDIRECT("Pianificazione!a1:a300"),0)),"hh:mm"),""))</f>
        <v>Riposo</v>
      </c>
      <c r="G3" s="15" t="str" cm="1">
        <f t="array" aca="1" ref="G3" ca="1">+IF(IFERROR(TEXT(INDEX(INDIRECT("Pianificazione!e1:e300"),MATCH($A3&amp;G$1,INDIRECT("Pianificazione!c1:c300")&amp;INDIRECT("Pianificazione!a1:a300"),0)),"hh:mm"),"")&amp;"-"&amp;IFERROR(TEXT(INDEX(INDIRECT("Pianificazione!f1:f300"),MATCH($A3&amp;G$1,INDIRECT("Pianificazione!c1:c300")&amp;INDIRECT("Pianificazione!a1:a300"),0)),"hh:mm"),"")="-","Riposo",IFERROR(TEXT(INDEX(INDIRECT("Pianificazione!e1:e300"),MATCH($A3&amp;G$1,INDIRECT("Pianificazione!c1:c300")&amp;INDIRECT("Pianificazione!a1:a300"),0)),"hh:mm"),"")&amp;"-"&amp;IFERROR(TEXT(INDEX(INDIRECT("Pianificazione!f1:f300"),MATCH($A3&amp;G$1,INDIRECT("Pianificazione!c1:c300")&amp;INDIRECT("Pianificazione!a1:a300"),0)),"hh:mm"),""))</f>
        <v>Riposo</v>
      </c>
      <c r="H3" s="15" t="str" cm="1">
        <f t="array" aca="1" ref="H3" ca="1">+IF(IFERROR(TEXT(INDEX(INDIRECT("Pianificazione!e1:e300"),MATCH($A3&amp;H$1,INDIRECT("Pianificazione!c1:c300")&amp;INDIRECT("Pianificazione!a1:a300"),0)),"hh:mm"),"")&amp;"-"&amp;IFERROR(TEXT(INDEX(INDIRECT("Pianificazione!f1:f300"),MATCH($A3&amp;H$1,INDIRECT("Pianificazione!c1:c300")&amp;INDIRECT("Pianificazione!a1:a300"),0)),"hh:mm"),"")="-","Riposo",IFERROR(TEXT(INDEX(INDIRECT("Pianificazione!e1:e300"),MATCH($A3&amp;H$1,INDIRECT("Pianificazione!c1:c300")&amp;INDIRECT("Pianificazione!a1:a300"),0)),"hh:mm"),"")&amp;"-"&amp;IFERROR(TEXT(INDEX(INDIRECT("Pianificazione!f1:f300"),MATCH($A3&amp;H$1,INDIRECT("Pianificazione!c1:c300")&amp;INDIRECT("Pianificazione!a1:a300"),0)),"hh:mm"),""))</f>
        <v>Riposo</v>
      </c>
      <c r="J3" s="4">
        <v>1</v>
      </c>
    </row>
    <row r="4" spans="1:19">
      <c r="A4" t="str">
        <f>+Risorse!B4</f>
        <v>Chiara Parisi</v>
      </c>
      <c r="B4" s="15" t="str" cm="1">
        <f t="array" aca="1" ref="B4" ca="1">+IF(IFERROR(TEXT(INDEX(INDIRECT("Pianificazione!e1:e300"),MATCH($A4&amp;B$1,INDIRECT("Pianificazione!c1:c300")&amp;INDIRECT("Pianificazione!a1:a300"),0)),"hh:mm"),"")&amp;"-"&amp;IFERROR(TEXT(INDEX(INDIRECT("Pianificazione!f1:f300"),MATCH($A4&amp;B$1,INDIRECT("Pianificazione!c1:c300")&amp;INDIRECT("Pianificazione!a1:a300"),0)),"hh:mm"),"")="-","Riposo",IFERROR(TEXT(INDEX(INDIRECT("Pianificazione!e1:e300"),MATCH($A4&amp;B$1,INDIRECT("Pianificazione!c1:c300")&amp;INDIRECT("Pianificazione!a1:a300"),0)),"hh:mm"),"")&amp;"-"&amp;IFERROR(TEXT(INDEX(INDIRECT("Pianificazione!f1:f300"),MATCH($A4&amp;B$1,INDIRECT("Pianificazione!c1:c300")&amp;INDIRECT("Pianificazione!a1:a300"),0)),"hh:mm"),""))</f>
        <v>Riposo</v>
      </c>
      <c r="C4" s="15" t="str" cm="1">
        <f t="array" aca="1" ref="C4" ca="1">+IF(IFERROR(TEXT(INDEX(INDIRECT("Pianificazione!e1:e300"),MATCH($A4&amp;C$1,INDIRECT("Pianificazione!c1:c300")&amp;INDIRECT("Pianificazione!a1:a300"),0)),"hh:mm"),"")&amp;"-"&amp;IFERROR(TEXT(INDEX(INDIRECT("Pianificazione!f1:f300"),MATCH($A4&amp;C$1,INDIRECT("Pianificazione!c1:c300")&amp;INDIRECT("Pianificazione!a1:a300"),0)),"hh:mm"),"")="-","Riposo",IFERROR(TEXT(INDEX(INDIRECT("Pianificazione!e1:e300"),MATCH($A4&amp;C$1,INDIRECT("Pianificazione!c1:c300")&amp;INDIRECT("Pianificazione!a1:a300"),0)),"hh:mm"),"")&amp;"-"&amp;IFERROR(TEXT(INDEX(INDIRECT("Pianificazione!f1:f300"),MATCH($A4&amp;C$1,INDIRECT("Pianificazione!c1:c300")&amp;INDIRECT("Pianificazione!a1:a300"),0)),"hh:mm"),""))</f>
        <v>Riposo</v>
      </c>
      <c r="D4" s="15" t="str" cm="1">
        <f t="array" aca="1" ref="D4" ca="1">+IF(IFERROR(TEXT(INDEX(INDIRECT("Pianificazione!e1:e300"),MATCH($A4&amp;D$1,INDIRECT("Pianificazione!c1:c300")&amp;INDIRECT("Pianificazione!a1:a300"),0)),"hh:mm"),"")&amp;"-"&amp;IFERROR(TEXT(INDEX(INDIRECT("Pianificazione!f1:f300"),MATCH($A4&amp;D$1,INDIRECT("Pianificazione!c1:c300")&amp;INDIRECT("Pianificazione!a1:a300"),0)),"hh:mm"),"")="-","Riposo",IFERROR(TEXT(INDEX(INDIRECT("Pianificazione!e1:e300"),MATCH($A4&amp;D$1,INDIRECT("Pianificazione!c1:c300")&amp;INDIRECT("Pianificazione!a1:a300"),0)),"hh:mm"),"")&amp;"-"&amp;IFERROR(TEXT(INDEX(INDIRECT("Pianificazione!f1:f300"),MATCH($A4&amp;D$1,INDIRECT("Pianificazione!c1:c300")&amp;INDIRECT("Pianificazione!a1:a300"),0)),"hh:mm"),""))</f>
        <v>Riposo</v>
      </c>
      <c r="E4" s="15" t="str" cm="1">
        <f t="array" aca="1" ref="E4" ca="1">+IF(IFERROR(TEXT(INDEX(INDIRECT("Pianificazione!e1:e300"),MATCH($A4&amp;E$1,INDIRECT("Pianificazione!c1:c300")&amp;INDIRECT("Pianificazione!a1:a300"),0)),"hh:mm"),"")&amp;"-"&amp;IFERROR(TEXT(INDEX(INDIRECT("Pianificazione!f1:f300"),MATCH($A4&amp;E$1,INDIRECT("Pianificazione!c1:c300")&amp;INDIRECT("Pianificazione!a1:a300"),0)),"hh:mm"),"")="-","Riposo",IFERROR(TEXT(INDEX(INDIRECT("Pianificazione!e1:e300"),MATCH($A4&amp;E$1,INDIRECT("Pianificazione!c1:c300")&amp;INDIRECT("Pianificazione!a1:a300"),0)),"hh:mm"),"")&amp;"-"&amp;IFERROR(TEXT(INDEX(INDIRECT("Pianificazione!f1:f300"),MATCH($A4&amp;E$1,INDIRECT("Pianificazione!c1:c300")&amp;INDIRECT("Pianificazione!a1:a300"),0)),"hh:mm"),""))</f>
        <v>Riposo</v>
      </c>
      <c r="F4" s="15" t="str" cm="1">
        <f t="array" aca="1" ref="F4" ca="1">+IF(IFERROR(TEXT(INDEX(INDIRECT("Pianificazione!e1:e300"),MATCH($A4&amp;F$1,INDIRECT("Pianificazione!c1:c300")&amp;INDIRECT("Pianificazione!a1:a300"),0)),"hh:mm"),"")&amp;"-"&amp;IFERROR(TEXT(INDEX(INDIRECT("Pianificazione!f1:f300"),MATCH($A4&amp;F$1,INDIRECT("Pianificazione!c1:c300")&amp;INDIRECT("Pianificazione!a1:a300"),0)),"hh:mm"),"")="-","Riposo",IFERROR(TEXT(INDEX(INDIRECT("Pianificazione!e1:e300"),MATCH($A4&amp;F$1,INDIRECT("Pianificazione!c1:c300")&amp;INDIRECT("Pianificazione!a1:a300"),0)),"hh:mm"),"")&amp;"-"&amp;IFERROR(TEXT(INDEX(INDIRECT("Pianificazione!f1:f300"),MATCH($A4&amp;F$1,INDIRECT("Pianificazione!c1:c300")&amp;INDIRECT("Pianificazione!a1:a300"),0)),"hh:mm"),""))</f>
        <v>Riposo</v>
      </c>
      <c r="G4" s="15" t="str" cm="1">
        <f t="array" aca="1" ref="G4" ca="1">+IF(IFERROR(TEXT(INDEX(INDIRECT("Pianificazione!e1:e300"),MATCH($A4&amp;G$1,INDIRECT("Pianificazione!c1:c300")&amp;INDIRECT("Pianificazione!a1:a300"),0)),"hh:mm"),"")&amp;"-"&amp;IFERROR(TEXT(INDEX(INDIRECT("Pianificazione!f1:f300"),MATCH($A4&amp;G$1,INDIRECT("Pianificazione!c1:c300")&amp;INDIRECT("Pianificazione!a1:a300"),0)),"hh:mm"),"")="-","Riposo",IFERROR(TEXT(INDEX(INDIRECT("Pianificazione!e1:e300"),MATCH($A4&amp;G$1,INDIRECT("Pianificazione!c1:c300")&amp;INDIRECT("Pianificazione!a1:a300"),0)),"hh:mm"),"")&amp;"-"&amp;IFERROR(TEXT(INDEX(INDIRECT("Pianificazione!f1:f300"),MATCH($A4&amp;G$1,INDIRECT("Pianificazione!c1:c300")&amp;INDIRECT("Pianificazione!a1:a300"),0)),"hh:mm"),""))</f>
        <v>Riposo</v>
      </c>
      <c r="H4" s="15" t="str" cm="1">
        <f t="array" aca="1" ref="H4" ca="1">+IF(IFERROR(TEXT(INDEX(INDIRECT("Pianificazione!e1:e300"),MATCH($A4&amp;H$1,INDIRECT("Pianificazione!c1:c300")&amp;INDIRECT("Pianificazione!a1:a300"),0)),"hh:mm"),"")&amp;"-"&amp;IFERROR(TEXT(INDEX(INDIRECT("Pianificazione!f1:f300"),MATCH($A4&amp;H$1,INDIRECT("Pianificazione!c1:c300")&amp;INDIRECT("Pianificazione!a1:a300"),0)),"hh:mm"),"")="-","Riposo",IFERROR(TEXT(INDEX(INDIRECT("Pianificazione!e1:e300"),MATCH($A4&amp;H$1,INDIRECT("Pianificazione!c1:c300")&amp;INDIRECT("Pianificazione!a1:a300"),0)),"hh:mm"),"")&amp;"-"&amp;IFERROR(TEXT(INDEX(INDIRECT("Pianificazione!f1:f300"),MATCH($A4&amp;H$1,INDIRECT("Pianificazione!c1:c300")&amp;INDIRECT("Pianificazione!a1:a300"),0)),"hh:mm"),""))</f>
        <v>Riposo</v>
      </c>
      <c r="J4" s="4">
        <v>1</v>
      </c>
    </row>
    <row r="5" spans="1:19">
      <c r="A5" t="str">
        <f>+Risorse!B5</f>
        <v>Grazia Gambardella</v>
      </c>
      <c r="B5" s="15" t="str" cm="1">
        <f t="array" aca="1" ref="B5" ca="1">+IF(IFERROR(TEXT(INDEX(INDIRECT("Pianificazione!e1:e300"),MATCH($A5&amp;B$1,INDIRECT("Pianificazione!c1:c300")&amp;INDIRECT("Pianificazione!a1:a300"),0)),"hh:mm"),"")&amp;"-"&amp;IFERROR(TEXT(INDEX(INDIRECT("Pianificazione!f1:f300"),MATCH($A5&amp;B$1,INDIRECT("Pianificazione!c1:c300")&amp;INDIRECT("Pianificazione!a1:a300"),0)),"hh:mm"),"")="-","Riposo",IFERROR(TEXT(INDEX(INDIRECT("Pianificazione!e1:e300"),MATCH($A5&amp;B$1,INDIRECT("Pianificazione!c1:c300")&amp;INDIRECT("Pianificazione!a1:a300"),0)),"hh:mm"),"")&amp;"-"&amp;IFERROR(TEXT(INDEX(INDIRECT("Pianificazione!f1:f300"),MATCH($A5&amp;B$1,INDIRECT("Pianificazione!c1:c300")&amp;INDIRECT("Pianificazione!a1:a300"),0)),"hh:mm"),""))</f>
        <v>Riposo</v>
      </c>
      <c r="C5" s="15" t="str" cm="1">
        <f t="array" aca="1" ref="C5" ca="1">+IF(IFERROR(TEXT(INDEX(INDIRECT("Pianificazione!e1:e300"),MATCH($A5&amp;C$1,INDIRECT("Pianificazione!c1:c300")&amp;INDIRECT("Pianificazione!a1:a300"),0)),"hh:mm"),"")&amp;"-"&amp;IFERROR(TEXT(INDEX(INDIRECT("Pianificazione!f1:f300"),MATCH($A5&amp;C$1,INDIRECT("Pianificazione!c1:c300")&amp;INDIRECT("Pianificazione!a1:a300"),0)),"hh:mm"),"")="-","Riposo",IFERROR(TEXT(INDEX(INDIRECT("Pianificazione!e1:e300"),MATCH($A5&amp;C$1,INDIRECT("Pianificazione!c1:c300")&amp;INDIRECT("Pianificazione!a1:a300"),0)),"hh:mm"),"")&amp;"-"&amp;IFERROR(TEXT(INDEX(INDIRECT("Pianificazione!f1:f300"),MATCH($A5&amp;C$1,INDIRECT("Pianificazione!c1:c300")&amp;INDIRECT("Pianificazione!a1:a300"),0)),"hh:mm"),""))</f>
        <v>Riposo</v>
      </c>
      <c r="D5" s="15" t="str" cm="1">
        <f t="array" aca="1" ref="D5" ca="1">+IF(IFERROR(TEXT(INDEX(INDIRECT("Pianificazione!e1:e300"),MATCH($A5&amp;D$1,INDIRECT("Pianificazione!c1:c300")&amp;INDIRECT("Pianificazione!a1:a300"),0)),"hh:mm"),"")&amp;"-"&amp;IFERROR(TEXT(INDEX(INDIRECT("Pianificazione!f1:f300"),MATCH($A5&amp;D$1,INDIRECT("Pianificazione!c1:c300")&amp;INDIRECT("Pianificazione!a1:a300"),0)),"hh:mm"),"")="-","Riposo",IFERROR(TEXT(INDEX(INDIRECT("Pianificazione!e1:e300"),MATCH($A5&amp;D$1,INDIRECT("Pianificazione!c1:c300")&amp;INDIRECT("Pianificazione!a1:a300"),0)),"hh:mm"),"")&amp;"-"&amp;IFERROR(TEXT(INDEX(INDIRECT("Pianificazione!f1:f300"),MATCH($A5&amp;D$1,INDIRECT("Pianificazione!c1:c300")&amp;INDIRECT("Pianificazione!a1:a300"),0)),"hh:mm"),""))</f>
        <v>Riposo</v>
      </c>
      <c r="E5" s="15" t="str" cm="1">
        <f t="array" aca="1" ref="E5" ca="1">+IF(IFERROR(TEXT(INDEX(INDIRECT("Pianificazione!e1:e300"),MATCH($A5&amp;E$1,INDIRECT("Pianificazione!c1:c300")&amp;INDIRECT("Pianificazione!a1:a300"),0)),"hh:mm"),"")&amp;"-"&amp;IFERROR(TEXT(INDEX(INDIRECT("Pianificazione!f1:f300"),MATCH($A5&amp;E$1,INDIRECT("Pianificazione!c1:c300")&amp;INDIRECT("Pianificazione!a1:a300"),0)),"hh:mm"),"")="-","Riposo",IFERROR(TEXT(INDEX(INDIRECT("Pianificazione!e1:e300"),MATCH($A5&amp;E$1,INDIRECT("Pianificazione!c1:c300")&amp;INDIRECT("Pianificazione!a1:a300"),0)),"hh:mm"),"")&amp;"-"&amp;IFERROR(TEXT(INDEX(INDIRECT("Pianificazione!f1:f300"),MATCH($A5&amp;E$1,INDIRECT("Pianificazione!c1:c300")&amp;INDIRECT("Pianificazione!a1:a300"),0)),"hh:mm"),""))</f>
        <v>Riposo</v>
      </c>
      <c r="F5" s="15" t="str" cm="1">
        <f t="array" aca="1" ref="F5" ca="1">+IF(IFERROR(TEXT(INDEX(INDIRECT("Pianificazione!e1:e300"),MATCH($A5&amp;F$1,INDIRECT("Pianificazione!c1:c300")&amp;INDIRECT("Pianificazione!a1:a300"),0)),"hh:mm"),"")&amp;"-"&amp;IFERROR(TEXT(INDEX(INDIRECT("Pianificazione!f1:f300"),MATCH($A5&amp;F$1,INDIRECT("Pianificazione!c1:c300")&amp;INDIRECT("Pianificazione!a1:a300"),0)),"hh:mm"),"")="-","Riposo",IFERROR(TEXT(INDEX(INDIRECT("Pianificazione!e1:e300"),MATCH($A5&amp;F$1,INDIRECT("Pianificazione!c1:c300")&amp;INDIRECT("Pianificazione!a1:a300"),0)),"hh:mm"),"")&amp;"-"&amp;IFERROR(TEXT(INDEX(INDIRECT("Pianificazione!f1:f300"),MATCH($A5&amp;F$1,INDIRECT("Pianificazione!c1:c300")&amp;INDIRECT("Pianificazione!a1:a300"),0)),"hh:mm"),""))</f>
        <v>Riposo</v>
      </c>
      <c r="G5" s="15" t="str" cm="1">
        <f t="array" aca="1" ref="G5" ca="1">+IF(IFERROR(TEXT(INDEX(INDIRECT("Pianificazione!e1:e300"),MATCH($A5&amp;G$1,INDIRECT("Pianificazione!c1:c300")&amp;INDIRECT("Pianificazione!a1:a300"),0)),"hh:mm"),"")&amp;"-"&amp;IFERROR(TEXT(INDEX(INDIRECT("Pianificazione!f1:f300"),MATCH($A5&amp;G$1,INDIRECT("Pianificazione!c1:c300")&amp;INDIRECT("Pianificazione!a1:a300"),0)),"hh:mm"),"")="-","Riposo",IFERROR(TEXT(INDEX(INDIRECT("Pianificazione!e1:e300"),MATCH($A5&amp;G$1,INDIRECT("Pianificazione!c1:c300")&amp;INDIRECT("Pianificazione!a1:a300"),0)),"hh:mm"),"")&amp;"-"&amp;IFERROR(TEXT(INDEX(INDIRECT("Pianificazione!f1:f300"),MATCH($A5&amp;G$1,INDIRECT("Pianificazione!c1:c300")&amp;INDIRECT("Pianificazione!a1:a300"),0)),"hh:mm"),""))</f>
        <v>Riposo</v>
      </c>
      <c r="H5" s="15" t="str" cm="1">
        <f t="array" aca="1" ref="H5" ca="1">+IF(IFERROR(TEXT(INDEX(INDIRECT("Pianificazione!e1:e300"),MATCH($A5&amp;H$1,INDIRECT("Pianificazione!c1:c300")&amp;INDIRECT("Pianificazione!a1:a300"),0)),"hh:mm"),"")&amp;"-"&amp;IFERROR(TEXT(INDEX(INDIRECT("Pianificazione!f1:f300"),MATCH($A5&amp;H$1,INDIRECT("Pianificazione!c1:c300")&amp;INDIRECT("Pianificazione!a1:a300"),0)),"hh:mm"),"")="-","Riposo",IFERROR(TEXT(INDEX(INDIRECT("Pianificazione!e1:e300"),MATCH($A5&amp;H$1,INDIRECT("Pianificazione!c1:c300")&amp;INDIRECT("Pianificazione!a1:a300"),0)),"hh:mm"),"")&amp;"-"&amp;IFERROR(TEXT(INDEX(INDIRECT("Pianificazione!f1:f300"),MATCH($A5&amp;H$1,INDIRECT("Pianificazione!c1:c300")&amp;INDIRECT("Pianificazione!a1:a300"),0)),"hh:mm"),""))</f>
        <v>Riposo</v>
      </c>
      <c r="J5" s="4">
        <v>1</v>
      </c>
    </row>
    <row r="6" spans="1:19">
      <c r="A6" t="str">
        <f>+Risorse!B6</f>
        <v>Simona Sorrentino</v>
      </c>
      <c r="B6" s="15" t="str" cm="1">
        <f t="array" aca="1" ref="B6" ca="1">+IF(IFERROR(TEXT(INDEX(INDIRECT("Pianificazione!e1:e300"),MATCH($A6&amp;B$1,INDIRECT("Pianificazione!c1:c300")&amp;INDIRECT("Pianificazione!a1:a300"),0)),"hh:mm"),"")&amp;"-"&amp;IFERROR(TEXT(INDEX(INDIRECT("Pianificazione!f1:f300"),MATCH($A6&amp;B$1,INDIRECT("Pianificazione!c1:c300")&amp;INDIRECT("Pianificazione!a1:a300"),0)),"hh:mm"),"")="-","Riposo",IFERROR(TEXT(INDEX(INDIRECT("Pianificazione!e1:e300"),MATCH($A6&amp;B$1,INDIRECT("Pianificazione!c1:c300")&amp;INDIRECT("Pianificazione!a1:a300"),0)),"hh:mm"),"")&amp;"-"&amp;IFERROR(TEXT(INDEX(INDIRECT("Pianificazione!f1:f300"),MATCH($A6&amp;B$1,INDIRECT("Pianificazione!c1:c300")&amp;INDIRECT("Pianificazione!a1:a300"),0)),"hh:mm"),""))</f>
        <v>Riposo</v>
      </c>
      <c r="C6" s="15" t="str" cm="1">
        <f t="array" aca="1" ref="C6" ca="1">+IF(IFERROR(TEXT(INDEX(INDIRECT("Pianificazione!e1:e300"),MATCH($A6&amp;C$1,INDIRECT("Pianificazione!c1:c300")&amp;INDIRECT("Pianificazione!a1:a300"),0)),"hh:mm"),"")&amp;"-"&amp;IFERROR(TEXT(INDEX(INDIRECT("Pianificazione!f1:f300"),MATCH($A6&amp;C$1,INDIRECT("Pianificazione!c1:c300")&amp;INDIRECT("Pianificazione!a1:a300"),0)),"hh:mm"),"")="-","Riposo",IFERROR(TEXT(INDEX(INDIRECT("Pianificazione!e1:e300"),MATCH($A6&amp;C$1,INDIRECT("Pianificazione!c1:c300")&amp;INDIRECT("Pianificazione!a1:a300"),0)),"hh:mm"),"")&amp;"-"&amp;IFERROR(TEXT(INDEX(INDIRECT("Pianificazione!f1:f300"),MATCH($A6&amp;C$1,INDIRECT("Pianificazione!c1:c300")&amp;INDIRECT("Pianificazione!a1:a300"),0)),"hh:mm"),""))</f>
        <v>Riposo</v>
      </c>
      <c r="D6" s="15" t="str" cm="1">
        <f t="array" aca="1" ref="D6" ca="1">+IF(IFERROR(TEXT(INDEX(INDIRECT("Pianificazione!e1:e300"),MATCH($A6&amp;D$1,INDIRECT("Pianificazione!c1:c300")&amp;INDIRECT("Pianificazione!a1:a300"),0)),"hh:mm"),"")&amp;"-"&amp;IFERROR(TEXT(INDEX(INDIRECT("Pianificazione!f1:f300"),MATCH($A6&amp;D$1,INDIRECT("Pianificazione!c1:c300")&amp;INDIRECT("Pianificazione!a1:a300"),0)),"hh:mm"),"")="-","Riposo",IFERROR(TEXT(INDEX(INDIRECT("Pianificazione!e1:e300"),MATCH($A6&amp;D$1,INDIRECT("Pianificazione!c1:c300")&amp;INDIRECT("Pianificazione!a1:a300"),0)),"hh:mm"),"")&amp;"-"&amp;IFERROR(TEXT(INDEX(INDIRECT("Pianificazione!f1:f300"),MATCH($A6&amp;D$1,INDIRECT("Pianificazione!c1:c300")&amp;INDIRECT("Pianificazione!a1:a300"),0)),"hh:mm"),""))</f>
        <v>Riposo</v>
      </c>
      <c r="E6" s="15" t="str" cm="1">
        <f t="array" aca="1" ref="E6" ca="1">+IF(IFERROR(TEXT(INDEX(INDIRECT("Pianificazione!e1:e300"),MATCH($A6&amp;E$1,INDIRECT("Pianificazione!c1:c300")&amp;INDIRECT("Pianificazione!a1:a300"),0)),"hh:mm"),"")&amp;"-"&amp;IFERROR(TEXT(INDEX(INDIRECT("Pianificazione!f1:f300"),MATCH($A6&amp;E$1,INDIRECT("Pianificazione!c1:c300")&amp;INDIRECT("Pianificazione!a1:a300"),0)),"hh:mm"),"")="-","Riposo",IFERROR(TEXT(INDEX(INDIRECT("Pianificazione!e1:e300"),MATCH($A6&amp;E$1,INDIRECT("Pianificazione!c1:c300")&amp;INDIRECT("Pianificazione!a1:a300"),0)),"hh:mm"),"")&amp;"-"&amp;IFERROR(TEXT(INDEX(INDIRECT("Pianificazione!f1:f300"),MATCH($A6&amp;E$1,INDIRECT("Pianificazione!c1:c300")&amp;INDIRECT("Pianificazione!a1:a300"),0)),"hh:mm"),""))</f>
        <v>Riposo</v>
      </c>
      <c r="F6" s="15" t="str" cm="1">
        <f t="array" aca="1" ref="F6" ca="1">+IF(IFERROR(TEXT(INDEX(INDIRECT("Pianificazione!e1:e300"),MATCH($A6&amp;F$1,INDIRECT("Pianificazione!c1:c300")&amp;INDIRECT("Pianificazione!a1:a300"),0)),"hh:mm"),"")&amp;"-"&amp;IFERROR(TEXT(INDEX(INDIRECT("Pianificazione!f1:f300"),MATCH($A6&amp;F$1,INDIRECT("Pianificazione!c1:c300")&amp;INDIRECT("Pianificazione!a1:a300"),0)),"hh:mm"),"")="-","Riposo",IFERROR(TEXT(INDEX(INDIRECT("Pianificazione!e1:e300"),MATCH($A6&amp;F$1,INDIRECT("Pianificazione!c1:c300")&amp;INDIRECT("Pianificazione!a1:a300"),0)),"hh:mm"),"")&amp;"-"&amp;IFERROR(TEXT(INDEX(INDIRECT("Pianificazione!f1:f300"),MATCH($A6&amp;F$1,INDIRECT("Pianificazione!c1:c300")&amp;INDIRECT("Pianificazione!a1:a300"),0)),"hh:mm"),""))</f>
        <v>Riposo</v>
      </c>
      <c r="G6" s="15" t="str" cm="1">
        <f t="array" aca="1" ref="G6" ca="1">+IF(IFERROR(TEXT(INDEX(INDIRECT("Pianificazione!e1:e300"),MATCH($A6&amp;G$1,INDIRECT("Pianificazione!c1:c300")&amp;INDIRECT("Pianificazione!a1:a300"),0)),"hh:mm"),"")&amp;"-"&amp;IFERROR(TEXT(INDEX(INDIRECT("Pianificazione!f1:f300"),MATCH($A6&amp;G$1,INDIRECT("Pianificazione!c1:c300")&amp;INDIRECT("Pianificazione!a1:a300"),0)),"hh:mm"),"")="-","Riposo",IFERROR(TEXT(INDEX(INDIRECT("Pianificazione!e1:e300"),MATCH($A6&amp;G$1,INDIRECT("Pianificazione!c1:c300")&amp;INDIRECT("Pianificazione!a1:a300"),0)),"hh:mm"),"")&amp;"-"&amp;IFERROR(TEXT(INDEX(INDIRECT("Pianificazione!f1:f300"),MATCH($A6&amp;G$1,INDIRECT("Pianificazione!c1:c300")&amp;INDIRECT("Pianificazione!a1:a300"),0)),"hh:mm"),""))</f>
        <v>Riposo</v>
      </c>
      <c r="H6" s="15" t="str" cm="1">
        <f t="array" aca="1" ref="H6" ca="1">+IF(IFERROR(TEXT(INDEX(INDIRECT("Pianificazione!e1:e300"),MATCH($A6&amp;H$1,INDIRECT("Pianificazione!c1:c300")&amp;INDIRECT("Pianificazione!a1:a300"),0)),"hh:mm"),"")&amp;"-"&amp;IFERROR(TEXT(INDEX(INDIRECT("Pianificazione!f1:f300"),MATCH($A6&amp;H$1,INDIRECT("Pianificazione!c1:c300")&amp;INDIRECT("Pianificazione!a1:a300"),0)),"hh:mm"),"")="-","Riposo",IFERROR(TEXT(INDEX(INDIRECT("Pianificazione!e1:e300"),MATCH($A6&amp;H$1,INDIRECT("Pianificazione!c1:c300")&amp;INDIRECT("Pianificazione!a1:a300"),0)),"hh:mm"),"")&amp;"-"&amp;IFERROR(TEXT(INDEX(INDIRECT("Pianificazione!f1:f300"),MATCH($A6&amp;H$1,INDIRECT("Pianificazione!c1:c300")&amp;INDIRECT("Pianificazione!a1:a300"),0)),"hh:mm"),""))</f>
        <v>Riposo</v>
      </c>
      <c r="J6" s="4">
        <v>1</v>
      </c>
    </row>
    <row r="7" spans="1:19">
      <c r="A7" t="str">
        <f>+Risorse!B7</f>
        <v>Viviana Caiazzo</v>
      </c>
      <c r="B7" s="15" t="str" cm="1">
        <f t="array" aca="1" ref="B7" ca="1">+IF(IFERROR(TEXT(INDEX(INDIRECT("Pianificazione!e1:e300"),MATCH($A7&amp;B$1,INDIRECT("Pianificazione!c1:c300")&amp;INDIRECT("Pianificazione!a1:a300"),0)),"hh:mm"),"")&amp;"-"&amp;IFERROR(TEXT(INDEX(INDIRECT("Pianificazione!f1:f300"),MATCH($A7&amp;B$1,INDIRECT("Pianificazione!c1:c300")&amp;INDIRECT("Pianificazione!a1:a300"),0)),"hh:mm"),"")="-","Riposo",IFERROR(TEXT(INDEX(INDIRECT("Pianificazione!e1:e300"),MATCH($A7&amp;B$1,INDIRECT("Pianificazione!c1:c300")&amp;INDIRECT("Pianificazione!a1:a300"),0)),"hh:mm"),"")&amp;"-"&amp;IFERROR(TEXT(INDEX(INDIRECT("Pianificazione!f1:f300"),MATCH($A7&amp;B$1,INDIRECT("Pianificazione!c1:c300")&amp;INDIRECT("Pianificazione!a1:a300"),0)),"hh:mm"),""))</f>
        <v>Riposo</v>
      </c>
      <c r="C7" s="15" t="str" cm="1">
        <f t="array" aca="1" ref="C7" ca="1">+IF(IFERROR(TEXT(INDEX(INDIRECT("Pianificazione!e1:e300"),MATCH($A7&amp;C$1,INDIRECT("Pianificazione!c1:c300")&amp;INDIRECT("Pianificazione!a1:a300"),0)),"hh:mm"),"")&amp;"-"&amp;IFERROR(TEXT(INDEX(INDIRECT("Pianificazione!f1:f300"),MATCH($A7&amp;C$1,INDIRECT("Pianificazione!c1:c300")&amp;INDIRECT("Pianificazione!a1:a300"),0)),"hh:mm"),"")="-","Riposo",IFERROR(TEXT(INDEX(INDIRECT("Pianificazione!e1:e300"),MATCH($A7&amp;C$1,INDIRECT("Pianificazione!c1:c300")&amp;INDIRECT("Pianificazione!a1:a300"),0)),"hh:mm"),"")&amp;"-"&amp;IFERROR(TEXT(INDEX(INDIRECT("Pianificazione!f1:f300"),MATCH($A7&amp;C$1,INDIRECT("Pianificazione!c1:c300")&amp;INDIRECT("Pianificazione!a1:a300"),0)),"hh:mm"),""))</f>
        <v>Riposo</v>
      </c>
      <c r="D7" s="15" t="str" cm="1">
        <f t="array" aca="1" ref="D7" ca="1">+IF(IFERROR(TEXT(INDEX(INDIRECT("Pianificazione!e1:e300"),MATCH($A7&amp;D$1,INDIRECT("Pianificazione!c1:c300")&amp;INDIRECT("Pianificazione!a1:a300"),0)),"hh:mm"),"")&amp;"-"&amp;IFERROR(TEXT(INDEX(INDIRECT("Pianificazione!f1:f300"),MATCH($A7&amp;D$1,INDIRECT("Pianificazione!c1:c300")&amp;INDIRECT("Pianificazione!a1:a300"),0)),"hh:mm"),"")="-","Riposo",IFERROR(TEXT(INDEX(INDIRECT("Pianificazione!e1:e300"),MATCH($A7&amp;D$1,INDIRECT("Pianificazione!c1:c300")&amp;INDIRECT("Pianificazione!a1:a300"),0)),"hh:mm"),"")&amp;"-"&amp;IFERROR(TEXT(INDEX(INDIRECT("Pianificazione!f1:f300"),MATCH($A7&amp;D$1,INDIRECT("Pianificazione!c1:c300")&amp;INDIRECT("Pianificazione!a1:a300"),0)),"hh:mm"),""))</f>
        <v>Riposo</v>
      </c>
      <c r="E7" s="15" t="str" cm="1">
        <f t="array" aca="1" ref="E7" ca="1">+IF(IFERROR(TEXT(INDEX(INDIRECT("Pianificazione!e1:e300"),MATCH($A7&amp;E$1,INDIRECT("Pianificazione!c1:c300")&amp;INDIRECT("Pianificazione!a1:a300"),0)),"hh:mm"),"")&amp;"-"&amp;IFERROR(TEXT(INDEX(INDIRECT("Pianificazione!f1:f300"),MATCH($A7&amp;E$1,INDIRECT("Pianificazione!c1:c300")&amp;INDIRECT("Pianificazione!a1:a300"),0)),"hh:mm"),"")="-","Riposo",IFERROR(TEXT(INDEX(INDIRECT("Pianificazione!e1:e300"),MATCH($A7&amp;E$1,INDIRECT("Pianificazione!c1:c300")&amp;INDIRECT("Pianificazione!a1:a300"),0)),"hh:mm"),"")&amp;"-"&amp;IFERROR(TEXT(INDEX(INDIRECT("Pianificazione!f1:f300"),MATCH($A7&amp;E$1,INDIRECT("Pianificazione!c1:c300")&amp;INDIRECT("Pianificazione!a1:a300"),0)),"hh:mm"),""))</f>
        <v>Riposo</v>
      </c>
      <c r="F7" s="15" t="str" cm="1">
        <f t="array" aca="1" ref="F7" ca="1">+IF(IFERROR(TEXT(INDEX(INDIRECT("Pianificazione!e1:e300"),MATCH($A7&amp;F$1,INDIRECT("Pianificazione!c1:c300")&amp;INDIRECT("Pianificazione!a1:a300"),0)),"hh:mm"),"")&amp;"-"&amp;IFERROR(TEXT(INDEX(INDIRECT("Pianificazione!f1:f300"),MATCH($A7&amp;F$1,INDIRECT("Pianificazione!c1:c300")&amp;INDIRECT("Pianificazione!a1:a300"),0)),"hh:mm"),"")="-","Riposo",IFERROR(TEXT(INDEX(INDIRECT("Pianificazione!e1:e300"),MATCH($A7&amp;F$1,INDIRECT("Pianificazione!c1:c300")&amp;INDIRECT("Pianificazione!a1:a300"),0)),"hh:mm"),"")&amp;"-"&amp;IFERROR(TEXT(INDEX(INDIRECT("Pianificazione!f1:f300"),MATCH($A7&amp;F$1,INDIRECT("Pianificazione!c1:c300")&amp;INDIRECT("Pianificazione!a1:a300"),0)),"hh:mm"),""))</f>
        <v>Riposo</v>
      </c>
      <c r="G7" s="15" t="str" cm="1">
        <f t="array" aca="1" ref="G7" ca="1">+IF(IFERROR(TEXT(INDEX(INDIRECT("Pianificazione!e1:e300"),MATCH($A7&amp;G$1,INDIRECT("Pianificazione!c1:c300")&amp;INDIRECT("Pianificazione!a1:a300"),0)),"hh:mm"),"")&amp;"-"&amp;IFERROR(TEXT(INDEX(INDIRECT("Pianificazione!f1:f300"),MATCH($A7&amp;G$1,INDIRECT("Pianificazione!c1:c300")&amp;INDIRECT("Pianificazione!a1:a300"),0)),"hh:mm"),"")="-","Riposo",IFERROR(TEXT(INDEX(INDIRECT("Pianificazione!e1:e300"),MATCH($A7&amp;G$1,INDIRECT("Pianificazione!c1:c300")&amp;INDIRECT("Pianificazione!a1:a300"),0)),"hh:mm"),"")&amp;"-"&amp;IFERROR(TEXT(INDEX(INDIRECT("Pianificazione!f1:f300"),MATCH($A7&amp;G$1,INDIRECT("Pianificazione!c1:c300")&amp;INDIRECT("Pianificazione!a1:a300"),0)),"hh:mm"),""))</f>
        <v>Riposo</v>
      </c>
      <c r="H7" s="15" t="str" cm="1">
        <f t="array" aca="1" ref="H7" ca="1">+IF(IFERROR(TEXT(INDEX(INDIRECT("Pianificazione!e1:e300"),MATCH($A7&amp;H$1,INDIRECT("Pianificazione!c1:c300")&amp;INDIRECT("Pianificazione!a1:a300"),0)),"hh:mm"),"")&amp;"-"&amp;IFERROR(TEXT(INDEX(INDIRECT("Pianificazione!f1:f300"),MATCH($A7&amp;H$1,INDIRECT("Pianificazione!c1:c300")&amp;INDIRECT("Pianificazione!a1:a300"),0)),"hh:mm"),"")="-","Riposo",IFERROR(TEXT(INDEX(INDIRECT("Pianificazione!e1:e300"),MATCH($A7&amp;H$1,INDIRECT("Pianificazione!c1:c300")&amp;INDIRECT("Pianificazione!a1:a300"),0)),"hh:mm"),"")&amp;"-"&amp;IFERROR(TEXT(INDEX(INDIRECT("Pianificazione!f1:f300"),MATCH($A7&amp;H$1,INDIRECT("Pianificazione!c1:c300")&amp;INDIRECT("Pianificazione!a1:a300"),0)),"hh:mm"),""))</f>
        <v>Riposo</v>
      </c>
      <c r="J7" s="4">
        <v>1</v>
      </c>
    </row>
    <row r="8" spans="1:19">
      <c r="A8" t="str">
        <f>+Risorse!B8</f>
        <v>Antonio Reccia</v>
      </c>
      <c r="B8" s="15" t="str" cm="1">
        <f t="array" aca="1" ref="B8" ca="1">+IF(IFERROR(TEXT(INDEX(INDIRECT("Pianificazione!e1:e300"),MATCH($A8&amp;B$1,INDIRECT("Pianificazione!c1:c300")&amp;INDIRECT("Pianificazione!a1:a300"),0)),"hh:mm"),"")&amp;"-"&amp;IFERROR(TEXT(INDEX(INDIRECT("Pianificazione!f1:f300"),MATCH($A8&amp;B$1,INDIRECT("Pianificazione!c1:c300")&amp;INDIRECT("Pianificazione!a1:a300"),0)),"hh:mm"),"")="-","Riposo",IFERROR(TEXT(INDEX(INDIRECT("Pianificazione!e1:e300"),MATCH($A8&amp;B$1,INDIRECT("Pianificazione!c1:c300")&amp;INDIRECT("Pianificazione!a1:a300"),0)),"hh:mm"),"")&amp;"-"&amp;IFERROR(TEXT(INDEX(INDIRECT("Pianificazione!f1:f300"),MATCH($A8&amp;B$1,INDIRECT("Pianificazione!c1:c300")&amp;INDIRECT("Pianificazione!a1:a300"),0)),"hh:mm"),""))</f>
        <v>Riposo</v>
      </c>
      <c r="C8" s="15" t="str" cm="1">
        <f t="array" aca="1" ref="C8" ca="1">+IF(IFERROR(TEXT(INDEX(INDIRECT("Pianificazione!e1:e300"),MATCH($A8&amp;C$1,INDIRECT("Pianificazione!c1:c300")&amp;INDIRECT("Pianificazione!a1:a300"),0)),"hh:mm"),"")&amp;"-"&amp;IFERROR(TEXT(INDEX(INDIRECT("Pianificazione!f1:f300"),MATCH($A8&amp;C$1,INDIRECT("Pianificazione!c1:c300")&amp;INDIRECT("Pianificazione!a1:a300"),0)),"hh:mm"),"")="-","Riposo",IFERROR(TEXT(INDEX(INDIRECT("Pianificazione!e1:e300"),MATCH($A8&amp;C$1,INDIRECT("Pianificazione!c1:c300")&amp;INDIRECT("Pianificazione!a1:a300"),0)),"hh:mm"),"")&amp;"-"&amp;IFERROR(TEXT(INDEX(INDIRECT("Pianificazione!f1:f300"),MATCH($A8&amp;C$1,INDIRECT("Pianificazione!c1:c300")&amp;INDIRECT("Pianificazione!a1:a300"),0)),"hh:mm"),""))</f>
        <v>Riposo</v>
      </c>
      <c r="D8" s="15" t="str" cm="1">
        <f t="array" aca="1" ref="D8" ca="1">+IF(IFERROR(TEXT(INDEX(INDIRECT("Pianificazione!e1:e300"),MATCH($A8&amp;D$1,INDIRECT("Pianificazione!c1:c300")&amp;INDIRECT("Pianificazione!a1:a300"),0)),"hh:mm"),"")&amp;"-"&amp;IFERROR(TEXT(INDEX(INDIRECT("Pianificazione!f1:f300"),MATCH($A8&amp;D$1,INDIRECT("Pianificazione!c1:c300")&amp;INDIRECT("Pianificazione!a1:a300"),0)),"hh:mm"),"")="-","Riposo",IFERROR(TEXT(INDEX(INDIRECT("Pianificazione!e1:e300"),MATCH($A8&amp;D$1,INDIRECT("Pianificazione!c1:c300")&amp;INDIRECT("Pianificazione!a1:a300"),0)),"hh:mm"),"")&amp;"-"&amp;IFERROR(TEXT(INDEX(INDIRECT("Pianificazione!f1:f300"),MATCH($A8&amp;D$1,INDIRECT("Pianificazione!c1:c300")&amp;INDIRECT("Pianificazione!a1:a300"),0)),"hh:mm"),""))</f>
        <v>Riposo</v>
      </c>
      <c r="E8" s="15" t="str" cm="1">
        <f t="array" aca="1" ref="E8" ca="1">+IF(IFERROR(TEXT(INDEX(INDIRECT("Pianificazione!e1:e300"),MATCH($A8&amp;E$1,INDIRECT("Pianificazione!c1:c300")&amp;INDIRECT("Pianificazione!a1:a300"),0)),"hh:mm"),"")&amp;"-"&amp;IFERROR(TEXT(INDEX(INDIRECT("Pianificazione!f1:f300"),MATCH($A8&amp;E$1,INDIRECT("Pianificazione!c1:c300")&amp;INDIRECT("Pianificazione!a1:a300"),0)),"hh:mm"),"")="-","Riposo",IFERROR(TEXT(INDEX(INDIRECT("Pianificazione!e1:e300"),MATCH($A8&amp;E$1,INDIRECT("Pianificazione!c1:c300")&amp;INDIRECT("Pianificazione!a1:a300"),0)),"hh:mm"),"")&amp;"-"&amp;IFERROR(TEXT(INDEX(INDIRECT("Pianificazione!f1:f300"),MATCH($A8&amp;E$1,INDIRECT("Pianificazione!c1:c300")&amp;INDIRECT("Pianificazione!a1:a300"),0)),"hh:mm"),""))</f>
        <v>Riposo</v>
      </c>
      <c r="F8" s="15" t="str" cm="1">
        <f t="array" aca="1" ref="F8" ca="1">+IF(IFERROR(TEXT(INDEX(INDIRECT("Pianificazione!e1:e300"),MATCH($A8&amp;F$1,INDIRECT("Pianificazione!c1:c300")&amp;INDIRECT("Pianificazione!a1:a300"),0)),"hh:mm"),"")&amp;"-"&amp;IFERROR(TEXT(INDEX(INDIRECT("Pianificazione!f1:f300"),MATCH($A8&amp;F$1,INDIRECT("Pianificazione!c1:c300")&amp;INDIRECT("Pianificazione!a1:a300"),0)),"hh:mm"),"")="-","Riposo",IFERROR(TEXT(INDEX(INDIRECT("Pianificazione!e1:e300"),MATCH($A8&amp;F$1,INDIRECT("Pianificazione!c1:c300")&amp;INDIRECT("Pianificazione!a1:a300"),0)),"hh:mm"),"")&amp;"-"&amp;IFERROR(TEXT(INDEX(INDIRECT("Pianificazione!f1:f300"),MATCH($A8&amp;F$1,INDIRECT("Pianificazione!c1:c300")&amp;INDIRECT("Pianificazione!a1:a300"),0)),"hh:mm"),""))</f>
        <v>Riposo</v>
      </c>
      <c r="G8" s="15" t="str" cm="1">
        <f t="array" aca="1" ref="G8" ca="1">+IF(IFERROR(TEXT(INDEX(INDIRECT("Pianificazione!e1:e300"),MATCH($A8&amp;G$1,INDIRECT("Pianificazione!c1:c300")&amp;INDIRECT("Pianificazione!a1:a300"),0)),"hh:mm"),"")&amp;"-"&amp;IFERROR(TEXT(INDEX(INDIRECT("Pianificazione!f1:f300"),MATCH($A8&amp;G$1,INDIRECT("Pianificazione!c1:c300")&amp;INDIRECT("Pianificazione!a1:a300"),0)),"hh:mm"),"")="-","Riposo",IFERROR(TEXT(INDEX(INDIRECT("Pianificazione!e1:e300"),MATCH($A8&amp;G$1,INDIRECT("Pianificazione!c1:c300")&amp;INDIRECT("Pianificazione!a1:a300"),0)),"hh:mm"),"")&amp;"-"&amp;IFERROR(TEXT(INDEX(INDIRECT("Pianificazione!f1:f300"),MATCH($A8&amp;G$1,INDIRECT("Pianificazione!c1:c300")&amp;INDIRECT("Pianificazione!a1:a300"),0)),"hh:mm"),""))</f>
        <v>Riposo</v>
      </c>
      <c r="H8" s="15" t="str" cm="1">
        <f t="array" aca="1" ref="H8" ca="1">+IF(IFERROR(TEXT(INDEX(INDIRECT("Pianificazione!e1:e300"),MATCH($A8&amp;H$1,INDIRECT("Pianificazione!c1:c300")&amp;INDIRECT("Pianificazione!a1:a300"),0)),"hh:mm"),"")&amp;"-"&amp;IFERROR(TEXT(INDEX(INDIRECT("Pianificazione!f1:f300"),MATCH($A8&amp;H$1,INDIRECT("Pianificazione!c1:c300")&amp;INDIRECT("Pianificazione!a1:a300"),0)),"hh:mm"),"")="-","Riposo",IFERROR(TEXT(INDEX(INDIRECT("Pianificazione!e1:e300"),MATCH($A8&amp;H$1,INDIRECT("Pianificazione!c1:c300")&amp;INDIRECT("Pianificazione!a1:a300"),0)),"hh:mm"),"")&amp;"-"&amp;IFERROR(TEXT(INDEX(INDIRECT("Pianificazione!f1:f300"),MATCH($A8&amp;H$1,INDIRECT("Pianificazione!c1:c300")&amp;INDIRECT("Pianificazione!a1:a300"),0)),"hh:mm"),""))</f>
        <v>Riposo</v>
      </c>
      <c r="J8" s="4">
        <v>1</v>
      </c>
    </row>
    <row r="9" spans="1:19">
      <c r="A9" t="str">
        <f>+Risorse!B9</f>
        <v>Valentina Buonfino</v>
      </c>
      <c r="B9" s="15" t="str" cm="1">
        <f t="array" aca="1" ref="B9" ca="1">+IF(IFERROR(TEXT(INDEX(INDIRECT("Pianificazione!e1:e300"),MATCH($A9&amp;B$1,INDIRECT("Pianificazione!c1:c300")&amp;INDIRECT("Pianificazione!a1:a300"),0)),"hh:mm"),"")&amp;"-"&amp;IFERROR(TEXT(INDEX(INDIRECT("Pianificazione!f1:f300"),MATCH($A9&amp;B$1,INDIRECT("Pianificazione!c1:c300")&amp;INDIRECT("Pianificazione!a1:a300"),0)),"hh:mm"),"")="-","Riposo",IFERROR(TEXT(INDEX(INDIRECT("Pianificazione!e1:e300"),MATCH($A9&amp;B$1,INDIRECT("Pianificazione!c1:c300")&amp;INDIRECT("Pianificazione!a1:a300"),0)),"hh:mm"),"")&amp;"-"&amp;IFERROR(TEXT(INDEX(INDIRECT("Pianificazione!f1:f300"),MATCH($A9&amp;B$1,INDIRECT("Pianificazione!c1:c300")&amp;INDIRECT("Pianificazione!a1:a300"),0)),"hh:mm"),""))</f>
        <v>Riposo</v>
      </c>
      <c r="C9" s="15" t="str" cm="1">
        <f t="array" aca="1" ref="C9" ca="1">+IF(IFERROR(TEXT(INDEX(INDIRECT("Pianificazione!e1:e300"),MATCH($A9&amp;C$1,INDIRECT("Pianificazione!c1:c300")&amp;INDIRECT("Pianificazione!a1:a300"),0)),"hh:mm"),"")&amp;"-"&amp;IFERROR(TEXT(INDEX(INDIRECT("Pianificazione!f1:f300"),MATCH($A9&amp;C$1,INDIRECT("Pianificazione!c1:c300")&amp;INDIRECT("Pianificazione!a1:a300"),0)),"hh:mm"),"")="-","Riposo",IFERROR(TEXT(INDEX(INDIRECT("Pianificazione!e1:e300"),MATCH($A9&amp;C$1,INDIRECT("Pianificazione!c1:c300")&amp;INDIRECT("Pianificazione!a1:a300"),0)),"hh:mm"),"")&amp;"-"&amp;IFERROR(TEXT(INDEX(INDIRECT("Pianificazione!f1:f300"),MATCH($A9&amp;C$1,INDIRECT("Pianificazione!c1:c300")&amp;INDIRECT("Pianificazione!a1:a300"),0)),"hh:mm"),""))</f>
        <v>Riposo</v>
      </c>
      <c r="D9" s="15" t="str" cm="1">
        <f t="array" aca="1" ref="D9" ca="1">+IF(IFERROR(TEXT(INDEX(INDIRECT("Pianificazione!e1:e300"),MATCH($A9&amp;D$1,INDIRECT("Pianificazione!c1:c300")&amp;INDIRECT("Pianificazione!a1:a300"),0)),"hh:mm"),"")&amp;"-"&amp;IFERROR(TEXT(INDEX(INDIRECT("Pianificazione!f1:f300"),MATCH($A9&amp;D$1,INDIRECT("Pianificazione!c1:c300")&amp;INDIRECT("Pianificazione!a1:a300"),0)),"hh:mm"),"")="-","Riposo",IFERROR(TEXT(INDEX(INDIRECT("Pianificazione!e1:e300"),MATCH($A9&amp;D$1,INDIRECT("Pianificazione!c1:c300")&amp;INDIRECT("Pianificazione!a1:a300"),0)),"hh:mm"),"")&amp;"-"&amp;IFERROR(TEXT(INDEX(INDIRECT("Pianificazione!f1:f300"),MATCH($A9&amp;D$1,INDIRECT("Pianificazione!c1:c300")&amp;INDIRECT("Pianificazione!a1:a300"),0)),"hh:mm"),""))</f>
        <v>Riposo</v>
      </c>
      <c r="E9" s="15" t="str" cm="1">
        <f t="array" aca="1" ref="E9" ca="1">+IF(IFERROR(TEXT(INDEX(INDIRECT("Pianificazione!e1:e300"),MATCH($A9&amp;E$1,INDIRECT("Pianificazione!c1:c300")&amp;INDIRECT("Pianificazione!a1:a300"),0)),"hh:mm"),"")&amp;"-"&amp;IFERROR(TEXT(INDEX(INDIRECT("Pianificazione!f1:f300"),MATCH($A9&amp;E$1,INDIRECT("Pianificazione!c1:c300")&amp;INDIRECT("Pianificazione!a1:a300"),0)),"hh:mm"),"")="-","Riposo",IFERROR(TEXT(INDEX(INDIRECT("Pianificazione!e1:e300"),MATCH($A9&amp;E$1,INDIRECT("Pianificazione!c1:c300")&amp;INDIRECT("Pianificazione!a1:a300"),0)),"hh:mm"),"")&amp;"-"&amp;IFERROR(TEXT(INDEX(INDIRECT("Pianificazione!f1:f300"),MATCH($A9&amp;E$1,INDIRECT("Pianificazione!c1:c300")&amp;INDIRECT("Pianificazione!a1:a300"),0)),"hh:mm"),""))</f>
        <v>Riposo</v>
      </c>
      <c r="F9" s="15" t="str" cm="1">
        <f t="array" aca="1" ref="F9" ca="1">+IF(IFERROR(TEXT(INDEX(INDIRECT("Pianificazione!e1:e300"),MATCH($A9&amp;F$1,INDIRECT("Pianificazione!c1:c300")&amp;INDIRECT("Pianificazione!a1:a300"),0)),"hh:mm"),"")&amp;"-"&amp;IFERROR(TEXT(INDEX(INDIRECT("Pianificazione!f1:f300"),MATCH($A9&amp;F$1,INDIRECT("Pianificazione!c1:c300")&amp;INDIRECT("Pianificazione!a1:a300"),0)),"hh:mm"),"")="-","Riposo",IFERROR(TEXT(INDEX(INDIRECT("Pianificazione!e1:e300"),MATCH($A9&amp;F$1,INDIRECT("Pianificazione!c1:c300")&amp;INDIRECT("Pianificazione!a1:a300"),0)),"hh:mm"),"")&amp;"-"&amp;IFERROR(TEXT(INDEX(INDIRECT("Pianificazione!f1:f300"),MATCH($A9&amp;F$1,INDIRECT("Pianificazione!c1:c300")&amp;INDIRECT("Pianificazione!a1:a300"),0)),"hh:mm"),""))</f>
        <v>Riposo</v>
      </c>
      <c r="G9" s="15" t="str" cm="1">
        <f t="array" aca="1" ref="G9" ca="1">+IF(IFERROR(TEXT(INDEX(INDIRECT("Pianificazione!e1:e300"),MATCH($A9&amp;G$1,INDIRECT("Pianificazione!c1:c300")&amp;INDIRECT("Pianificazione!a1:a300"),0)),"hh:mm"),"")&amp;"-"&amp;IFERROR(TEXT(INDEX(INDIRECT("Pianificazione!f1:f300"),MATCH($A9&amp;G$1,INDIRECT("Pianificazione!c1:c300")&amp;INDIRECT("Pianificazione!a1:a300"),0)),"hh:mm"),"")="-","Riposo",IFERROR(TEXT(INDEX(INDIRECT("Pianificazione!e1:e300"),MATCH($A9&amp;G$1,INDIRECT("Pianificazione!c1:c300")&amp;INDIRECT("Pianificazione!a1:a300"),0)),"hh:mm"),"")&amp;"-"&amp;IFERROR(TEXT(INDEX(INDIRECT("Pianificazione!f1:f300"),MATCH($A9&amp;G$1,INDIRECT("Pianificazione!c1:c300")&amp;INDIRECT("Pianificazione!a1:a300"),0)),"hh:mm"),""))</f>
        <v>Riposo</v>
      </c>
      <c r="H9" s="15" t="str" cm="1">
        <f t="array" aca="1" ref="H9" ca="1">+IF(IFERROR(TEXT(INDEX(INDIRECT("Pianificazione!e1:e300"),MATCH($A9&amp;H$1,INDIRECT("Pianificazione!c1:c300")&amp;INDIRECT("Pianificazione!a1:a300"),0)),"hh:mm"),"")&amp;"-"&amp;IFERROR(TEXT(INDEX(INDIRECT("Pianificazione!f1:f300"),MATCH($A9&amp;H$1,INDIRECT("Pianificazione!c1:c300")&amp;INDIRECT("Pianificazione!a1:a300"),0)),"hh:mm"),"")="-","Riposo",IFERROR(TEXT(INDEX(INDIRECT("Pianificazione!e1:e300"),MATCH($A9&amp;H$1,INDIRECT("Pianificazione!c1:c300")&amp;INDIRECT("Pianificazione!a1:a300"),0)),"hh:mm"),"")&amp;"-"&amp;IFERROR(TEXT(INDEX(INDIRECT("Pianificazione!f1:f300"),MATCH($A9&amp;H$1,INDIRECT("Pianificazione!c1:c300")&amp;INDIRECT("Pianificazione!a1:a300"),0)),"hh:mm"),""))</f>
        <v>Riposo</v>
      </c>
      <c r="J9" s="4">
        <v>1</v>
      </c>
    </row>
    <row r="10" spans="1:19">
      <c r="A10" t="str">
        <f>+Risorse!B10</f>
        <v>Vincenza De Micco</v>
      </c>
      <c r="B10" s="15" t="str" cm="1">
        <f t="array" aca="1" ref="B10" ca="1">+IF(IFERROR(TEXT(INDEX(INDIRECT("Pianificazione!e1:e300"),MATCH($A10&amp;B$1,INDIRECT("Pianificazione!c1:c300")&amp;INDIRECT("Pianificazione!a1:a300"),0)),"hh:mm"),"")&amp;"-"&amp;IFERROR(TEXT(INDEX(INDIRECT("Pianificazione!f1:f300"),MATCH($A10&amp;B$1,INDIRECT("Pianificazione!c1:c300")&amp;INDIRECT("Pianificazione!a1:a300"),0)),"hh:mm"),"")="-","Riposo",IFERROR(TEXT(INDEX(INDIRECT("Pianificazione!e1:e300"),MATCH($A10&amp;B$1,INDIRECT("Pianificazione!c1:c300")&amp;INDIRECT("Pianificazione!a1:a300"),0)),"hh:mm"),"")&amp;"-"&amp;IFERROR(TEXT(INDEX(INDIRECT("Pianificazione!f1:f300"),MATCH($A10&amp;B$1,INDIRECT("Pianificazione!c1:c300")&amp;INDIRECT("Pianificazione!a1:a300"),0)),"hh:mm"),""))</f>
        <v>Riposo</v>
      </c>
      <c r="C10" s="15" t="str" cm="1">
        <f t="array" aca="1" ref="C10" ca="1">+IF(IFERROR(TEXT(INDEX(INDIRECT("Pianificazione!e1:e300"),MATCH($A10&amp;C$1,INDIRECT("Pianificazione!c1:c300")&amp;INDIRECT("Pianificazione!a1:a300"),0)),"hh:mm"),"")&amp;"-"&amp;IFERROR(TEXT(INDEX(INDIRECT("Pianificazione!f1:f300"),MATCH($A10&amp;C$1,INDIRECT("Pianificazione!c1:c300")&amp;INDIRECT("Pianificazione!a1:a300"),0)),"hh:mm"),"")="-","Riposo",IFERROR(TEXT(INDEX(INDIRECT("Pianificazione!e1:e300"),MATCH($A10&amp;C$1,INDIRECT("Pianificazione!c1:c300")&amp;INDIRECT("Pianificazione!a1:a300"),0)),"hh:mm"),"")&amp;"-"&amp;IFERROR(TEXT(INDEX(INDIRECT("Pianificazione!f1:f300"),MATCH($A10&amp;C$1,INDIRECT("Pianificazione!c1:c300")&amp;INDIRECT("Pianificazione!a1:a300"),0)),"hh:mm"),""))</f>
        <v>Riposo</v>
      </c>
      <c r="D10" s="15" t="str" cm="1">
        <f t="array" aca="1" ref="D10" ca="1">+IF(IFERROR(TEXT(INDEX(INDIRECT("Pianificazione!e1:e300"),MATCH($A10&amp;D$1,INDIRECT("Pianificazione!c1:c300")&amp;INDIRECT("Pianificazione!a1:a300"),0)),"hh:mm"),"")&amp;"-"&amp;IFERROR(TEXT(INDEX(INDIRECT("Pianificazione!f1:f300"),MATCH($A10&amp;D$1,INDIRECT("Pianificazione!c1:c300")&amp;INDIRECT("Pianificazione!a1:a300"),0)),"hh:mm"),"")="-","Riposo",IFERROR(TEXT(INDEX(INDIRECT("Pianificazione!e1:e300"),MATCH($A10&amp;D$1,INDIRECT("Pianificazione!c1:c300")&amp;INDIRECT("Pianificazione!a1:a300"),0)),"hh:mm"),"")&amp;"-"&amp;IFERROR(TEXT(INDEX(INDIRECT("Pianificazione!f1:f300"),MATCH($A10&amp;D$1,INDIRECT("Pianificazione!c1:c300")&amp;INDIRECT("Pianificazione!a1:a300"),0)),"hh:mm"),""))</f>
        <v>Riposo</v>
      </c>
      <c r="E10" s="15" t="str" cm="1">
        <f t="array" aca="1" ref="E10" ca="1">+IF(IFERROR(TEXT(INDEX(INDIRECT("Pianificazione!e1:e300"),MATCH($A10&amp;E$1,INDIRECT("Pianificazione!c1:c300")&amp;INDIRECT("Pianificazione!a1:a300"),0)),"hh:mm"),"")&amp;"-"&amp;IFERROR(TEXT(INDEX(INDIRECT("Pianificazione!f1:f300"),MATCH($A10&amp;E$1,INDIRECT("Pianificazione!c1:c300")&amp;INDIRECT("Pianificazione!a1:a300"),0)),"hh:mm"),"")="-","Riposo",IFERROR(TEXT(INDEX(INDIRECT("Pianificazione!e1:e300"),MATCH($A10&amp;E$1,INDIRECT("Pianificazione!c1:c300")&amp;INDIRECT("Pianificazione!a1:a300"),0)),"hh:mm"),"")&amp;"-"&amp;IFERROR(TEXT(INDEX(INDIRECT("Pianificazione!f1:f300"),MATCH($A10&amp;E$1,INDIRECT("Pianificazione!c1:c300")&amp;INDIRECT("Pianificazione!a1:a300"),0)),"hh:mm"),""))</f>
        <v>Riposo</v>
      </c>
      <c r="F10" s="15" t="str" cm="1">
        <f t="array" aca="1" ref="F10" ca="1">+IF(IFERROR(TEXT(INDEX(INDIRECT("Pianificazione!e1:e300"),MATCH($A10&amp;F$1,INDIRECT("Pianificazione!c1:c300")&amp;INDIRECT("Pianificazione!a1:a300"),0)),"hh:mm"),"")&amp;"-"&amp;IFERROR(TEXT(INDEX(INDIRECT("Pianificazione!f1:f300"),MATCH($A10&amp;F$1,INDIRECT("Pianificazione!c1:c300")&amp;INDIRECT("Pianificazione!a1:a300"),0)),"hh:mm"),"")="-","Riposo",IFERROR(TEXT(INDEX(INDIRECT("Pianificazione!e1:e300"),MATCH($A10&amp;F$1,INDIRECT("Pianificazione!c1:c300")&amp;INDIRECT("Pianificazione!a1:a300"),0)),"hh:mm"),"")&amp;"-"&amp;IFERROR(TEXT(INDEX(INDIRECT("Pianificazione!f1:f300"),MATCH($A10&amp;F$1,INDIRECT("Pianificazione!c1:c300")&amp;INDIRECT("Pianificazione!a1:a300"),0)),"hh:mm"),""))</f>
        <v>Riposo</v>
      </c>
      <c r="G10" s="15" t="str" cm="1">
        <f t="array" aca="1" ref="G10" ca="1">+IF(IFERROR(TEXT(INDEX(INDIRECT("Pianificazione!e1:e300"),MATCH($A10&amp;G$1,INDIRECT("Pianificazione!c1:c300")&amp;INDIRECT("Pianificazione!a1:a300"),0)),"hh:mm"),"")&amp;"-"&amp;IFERROR(TEXT(INDEX(INDIRECT("Pianificazione!f1:f300"),MATCH($A10&amp;G$1,INDIRECT("Pianificazione!c1:c300")&amp;INDIRECT("Pianificazione!a1:a300"),0)),"hh:mm"),"")="-","Riposo",IFERROR(TEXT(INDEX(INDIRECT("Pianificazione!e1:e300"),MATCH($A10&amp;G$1,INDIRECT("Pianificazione!c1:c300")&amp;INDIRECT("Pianificazione!a1:a300"),0)),"hh:mm"),"")&amp;"-"&amp;IFERROR(TEXT(INDEX(INDIRECT("Pianificazione!f1:f300"),MATCH($A10&amp;G$1,INDIRECT("Pianificazione!c1:c300")&amp;INDIRECT("Pianificazione!a1:a300"),0)),"hh:mm"),""))</f>
        <v>Riposo</v>
      </c>
      <c r="H10" s="15" t="str" cm="1">
        <f t="array" aca="1" ref="H10" ca="1">+IF(IFERROR(TEXT(INDEX(INDIRECT("Pianificazione!e1:e300"),MATCH($A10&amp;H$1,INDIRECT("Pianificazione!c1:c300")&amp;INDIRECT("Pianificazione!a1:a300"),0)),"hh:mm"),"")&amp;"-"&amp;IFERROR(TEXT(INDEX(INDIRECT("Pianificazione!f1:f300"),MATCH($A10&amp;H$1,INDIRECT("Pianificazione!c1:c300")&amp;INDIRECT("Pianificazione!a1:a300"),0)),"hh:mm"),"")="-","Riposo",IFERROR(TEXT(INDEX(INDIRECT("Pianificazione!e1:e300"),MATCH($A10&amp;H$1,INDIRECT("Pianificazione!c1:c300")&amp;INDIRECT("Pianificazione!a1:a300"),0)),"hh:mm"),"")&amp;"-"&amp;IFERROR(TEXT(INDEX(INDIRECT("Pianificazione!f1:f300"),MATCH($A10&amp;H$1,INDIRECT("Pianificazione!c1:c300")&amp;INDIRECT("Pianificazione!a1:a300"),0)),"hh:mm"),""))</f>
        <v>Riposo</v>
      </c>
      <c r="J10" s="4">
        <v>1</v>
      </c>
    </row>
    <row r="11" spans="1:19">
      <c r="A11" t="str">
        <f>+Risorse!B11</f>
        <v>Claudia Celestino</v>
      </c>
      <c r="B11" s="15" t="str" cm="1">
        <f t="array" aca="1" ref="B11" ca="1">+IF(IFERROR(TEXT(INDEX(INDIRECT("Pianificazione!e1:e300"),MATCH($A11&amp;B$1,INDIRECT("Pianificazione!c1:c300")&amp;INDIRECT("Pianificazione!a1:a300"),0)),"hh:mm"),"")&amp;"-"&amp;IFERROR(TEXT(INDEX(INDIRECT("Pianificazione!f1:f300"),MATCH($A11&amp;B$1,INDIRECT("Pianificazione!c1:c300")&amp;INDIRECT("Pianificazione!a1:a300"),0)),"hh:mm"),"")="-","Riposo",IFERROR(TEXT(INDEX(INDIRECT("Pianificazione!e1:e300"),MATCH($A11&amp;B$1,INDIRECT("Pianificazione!c1:c300")&amp;INDIRECT("Pianificazione!a1:a300"),0)),"hh:mm"),"")&amp;"-"&amp;IFERROR(TEXT(INDEX(INDIRECT("Pianificazione!f1:f300"),MATCH($A11&amp;B$1,INDIRECT("Pianificazione!c1:c300")&amp;INDIRECT("Pianificazione!a1:a300"),0)),"hh:mm"),""))</f>
        <v>Riposo</v>
      </c>
      <c r="C11" s="15" t="str" cm="1">
        <f t="array" aca="1" ref="C11" ca="1">+IF(IFERROR(TEXT(INDEX(INDIRECT("Pianificazione!e1:e300"),MATCH($A11&amp;C$1,INDIRECT("Pianificazione!c1:c300")&amp;INDIRECT("Pianificazione!a1:a300"),0)),"hh:mm"),"")&amp;"-"&amp;IFERROR(TEXT(INDEX(INDIRECT("Pianificazione!f1:f300"),MATCH($A11&amp;C$1,INDIRECT("Pianificazione!c1:c300")&amp;INDIRECT("Pianificazione!a1:a300"),0)),"hh:mm"),"")="-","Riposo",IFERROR(TEXT(INDEX(INDIRECT("Pianificazione!e1:e300"),MATCH($A11&amp;C$1,INDIRECT("Pianificazione!c1:c300")&amp;INDIRECT("Pianificazione!a1:a300"),0)),"hh:mm"),"")&amp;"-"&amp;IFERROR(TEXT(INDEX(INDIRECT("Pianificazione!f1:f300"),MATCH($A11&amp;C$1,INDIRECT("Pianificazione!c1:c300")&amp;INDIRECT("Pianificazione!a1:a300"),0)),"hh:mm"),""))</f>
        <v>Riposo</v>
      </c>
      <c r="D11" s="15" t="str" cm="1">
        <f t="array" aca="1" ref="D11" ca="1">+IF(IFERROR(TEXT(INDEX(INDIRECT("Pianificazione!e1:e300"),MATCH($A11&amp;D$1,INDIRECT("Pianificazione!c1:c300")&amp;INDIRECT("Pianificazione!a1:a300"),0)),"hh:mm"),"")&amp;"-"&amp;IFERROR(TEXT(INDEX(INDIRECT("Pianificazione!f1:f300"),MATCH($A11&amp;D$1,INDIRECT("Pianificazione!c1:c300")&amp;INDIRECT("Pianificazione!a1:a300"),0)),"hh:mm"),"")="-","Riposo",IFERROR(TEXT(INDEX(INDIRECT("Pianificazione!e1:e300"),MATCH($A11&amp;D$1,INDIRECT("Pianificazione!c1:c300")&amp;INDIRECT("Pianificazione!a1:a300"),0)),"hh:mm"),"")&amp;"-"&amp;IFERROR(TEXT(INDEX(INDIRECT("Pianificazione!f1:f300"),MATCH($A11&amp;D$1,INDIRECT("Pianificazione!c1:c300")&amp;INDIRECT("Pianificazione!a1:a300"),0)),"hh:mm"),""))</f>
        <v>Riposo</v>
      </c>
      <c r="E11" s="15" t="str" cm="1">
        <f t="array" aca="1" ref="E11" ca="1">+IF(IFERROR(TEXT(INDEX(INDIRECT("Pianificazione!e1:e300"),MATCH($A11&amp;E$1,INDIRECT("Pianificazione!c1:c300")&amp;INDIRECT("Pianificazione!a1:a300"),0)),"hh:mm"),"")&amp;"-"&amp;IFERROR(TEXT(INDEX(INDIRECT("Pianificazione!f1:f300"),MATCH($A11&amp;E$1,INDIRECT("Pianificazione!c1:c300")&amp;INDIRECT("Pianificazione!a1:a300"),0)),"hh:mm"),"")="-","Riposo",IFERROR(TEXT(INDEX(INDIRECT("Pianificazione!e1:e300"),MATCH($A11&amp;E$1,INDIRECT("Pianificazione!c1:c300")&amp;INDIRECT("Pianificazione!a1:a300"),0)),"hh:mm"),"")&amp;"-"&amp;IFERROR(TEXT(INDEX(INDIRECT("Pianificazione!f1:f300"),MATCH($A11&amp;E$1,INDIRECT("Pianificazione!c1:c300")&amp;INDIRECT("Pianificazione!a1:a300"),0)),"hh:mm"),""))</f>
        <v>Riposo</v>
      </c>
      <c r="F11" s="15" t="str" cm="1">
        <f t="array" aca="1" ref="F11" ca="1">+IF(IFERROR(TEXT(INDEX(INDIRECT("Pianificazione!e1:e300"),MATCH($A11&amp;F$1,INDIRECT("Pianificazione!c1:c300")&amp;INDIRECT("Pianificazione!a1:a300"),0)),"hh:mm"),"")&amp;"-"&amp;IFERROR(TEXT(INDEX(INDIRECT("Pianificazione!f1:f300"),MATCH($A11&amp;F$1,INDIRECT("Pianificazione!c1:c300")&amp;INDIRECT("Pianificazione!a1:a300"),0)),"hh:mm"),"")="-","Riposo",IFERROR(TEXT(INDEX(INDIRECT("Pianificazione!e1:e300"),MATCH($A11&amp;F$1,INDIRECT("Pianificazione!c1:c300")&amp;INDIRECT("Pianificazione!a1:a300"),0)),"hh:mm"),"")&amp;"-"&amp;IFERROR(TEXT(INDEX(INDIRECT("Pianificazione!f1:f300"),MATCH($A11&amp;F$1,INDIRECT("Pianificazione!c1:c300")&amp;INDIRECT("Pianificazione!a1:a300"),0)),"hh:mm"),""))</f>
        <v>Riposo</v>
      </c>
      <c r="G11" s="15" t="str" cm="1">
        <f t="array" aca="1" ref="G11" ca="1">+IF(IFERROR(TEXT(INDEX(INDIRECT("Pianificazione!e1:e300"),MATCH($A11&amp;G$1,INDIRECT("Pianificazione!c1:c300")&amp;INDIRECT("Pianificazione!a1:a300"),0)),"hh:mm"),"")&amp;"-"&amp;IFERROR(TEXT(INDEX(INDIRECT("Pianificazione!f1:f300"),MATCH($A11&amp;G$1,INDIRECT("Pianificazione!c1:c300")&amp;INDIRECT("Pianificazione!a1:a300"),0)),"hh:mm"),"")="-","Riposo",IFERROR(TEXT(INDEX(INDIRECT("Pianificazione!e1:e300"),MATCH($A11&amp;G$1,INDIRECT("Pianificazione!c1:c300")&amp;INDIRECT("Pianificazione!a1:a300"),0)),"hh:mm"),"")&amp;"-"&amp;IFERROR(TEXT(INDEX(INDIRECT("Pianificazione!f1:f300"),MATCH($A11&amp;G$1,INDIRECT("Pianificazione!c1:c300")&amp;INDIRECT("Pianificazione!a1:a300"),0)),"hh:mm"),""))</f>
        <v>Riposo</v>
      </c>
      <c r="H11" s="15" t="str" cm="1">
        <f t="array" aca="1" ref="H11" ca="1">+IF(IFERROR(TEXT(INDEX(INDIRECT("Pianificazione!e1:e300"),MATCH($A11&amp;H$1,INDIRECT("Pianificazione!c1:c300")&amp;INDIRECT("Pianificazione!a1:a300"),0)),"hh:mm"),"")&amp;"-"&amp;IFERROR(TEXT(INDEX(INDIRECT("Pianificazione!f1:f300"),MATCH($A11&amp;H$1,INDIRECT("Pianificazione!c1:c300")&amp;INDIRECT("Pianificazione!a1:a300"),0)),"hh:mm"),"")="-","Riposo",IFERROR(TEXT(INDEX(INDIRECT("Pianificazione!e1:e300"),MATCH($A11&amp;H$1,INDIRECT("Pianificazione!c1:c300")&amp;INDIRECT("Pianificazione!a1:a300"),0)),"hh:mm"),"")&amp;"-"&amp;IFERROR(TEXT(INDEX(INDIRECT("Pianificazione!f1:f300"),MATCH($A11&amp;H$1,INDIRECT("Pianificazione!c1:c300")&amp;INDIRECT("Pianificazione!a1:a300"),0)),"hh:mm"),""))</f>
        <v>Riposo</v>
      </c>
      <c r="J11" s="4">
        <v>1</v>
      </c>
    </row>
    <row r="12" spans="1:19">
      <c r="A12" t="str">
        <f>+Risorse!B12</f>
        <v>Martina Matteo</v>
      </c>
      <c r="B12" s="15" t="str" cm="1">
        <f t="array" aca="1" ref="B12" ca="1">+IF(IFERROR(TEXT(INDEX(INDIRECT("Pianificazione!e1:e300"),MATCH($A12&amp;B$1,INDIRECT("Pianificazione!c1:c300")&amp;INDIRECT("Pianificazione!a1:a300"),0)),"hh:mm"),"")&amp;"-"&amp;IFERROR(TEXT(INDEX(INDIRECT("Pianificazione!f1:f300"),MATCH($A12&amp;B$1,INDIRECT("Pianificazione!c1:c300")&amp;INDIRECT("Pianificazione!a1:a300"),0)),"hh:mm"),"")="-","Riposo",IFERROR(TEXT(INDEX(INDIRECT("Pianificazione!e1:e300"),MATCH($A12&amp;B$1,INDIRECT("Pianificazione!c1:c300")&amp;INDIRECT("Pianificazione!a1:a300"),0)),"hh:mm"),"")&amp;"-"&amp;IFERROR(TEXT(INDEX(INDIRECT("Pianificazione!f1:f300"),MATCH($A12&amp;B$1,INDIRECT("Pianificazione!c1:c300")&amp;INDIRECT("Pianificazione!a1:a300"),0)),"hh:mm"),""))</f>
        <v>Riposo</v>
      </c>
      <c r="C12" s="15" t="str" cm="1">
        <f t="array" aca="1" ref="C12" ca="1">+IF(IFERROR(TEXT(INDEX(INDIRECT("Pianificazione!e1:e300"),MATCH($A12&amp;C$1,INDIRECT("Pianificazione!c1:c300")&amp;INDIRECT("Pianificazione!a1:a300"),0)),"hh:mm"),"")&amp;"-"&amp;IFERROR(TEXT(INDEX(INDIRECT("Pianificazione!f1:f300"),MATCH($A12&amp;C$1,INDIRECT("Pianificazione!c1:c300")&amp;INDIRECT("Pianificazione!a1:a300"),0)),"hh:mm"),"")="-","Riposo",IFERROR(TEXT(INDEX(INDIRECT("Pianificazione!e1:e300"),MATCH($A12&amp;C$1,INDIRECT("Pianificazione!c1:c300")&amp;INDIRECT("Pianificazione!a1:a300"),0)),"hh:mm"),"")&amp;"-"&amp;IFERROR(TEXT(INDEX(INDIRECT("Pianificazione!f1:f300"),MATCH($A12&amp;C$1,INDIRECT("Pianificazione!c1:c300")&amp;INDIRECT("Pianificazione!a1:a300"),0)),"hh:mm"),""))</f>
        <v>Riposo</v>
      </c>
      <c r="D12" s="15" t="str" cm="1">
        <f t="array" aca="1" ref="D12" ca="1">+IF(IFERROR(TEXT(INDEX(INDIRECT("Pianificazione!e1:e300"),MATCH($A12&amp;D$1,INDIRECT("Pianificazione!c1:c300")&amp;INDIRECT("Pianificazione!a1:a300"),0)),"hh:mm"),"")&amp;"-"&amp;IFERROR(TEXT(INDEX(INDIRECT("Pianificazione!f1:f300"),MATCH($A12&amp;D$1,INDIRECT("Pianificazione!c1:c300")&amp;INDIRECT("Pianificazione!a1:a300"),0)),"hh:mm"),"")="-","Riposo",IFERROR(TEXT(INDEX(INDIRECT("Pianificazione!e1:e300"),MATCH($A12&amp;D$1,INDIRECT("Pianificazione!c1:c300")&amp;INDIRECT("Pianificazione!a1:a300"),0)),"hh:mm"),"")&amp;"-"&amp;IFERROR(TEXT(INDEX(INDIRECT("Pianificazione!f1:f300"),MATCH($A12&amp;D$1,INDIRECT("Pianificazione!c1:c300")&amp;INDIRECT("Pianificazione!a1:a300"),0)),"hh:mm"),""))</f>
        <v>Riposo</v>
      </c>
      <c r="E12" s="15" t="str" cm="1">
        <f t="array" aca="1" ref="E12" ca="1">+IF(IFERROR(TEXT(INDEX(INDIRECT("Pianificazione!e1:e300"),MATCH($A12&amp;E$1,INDIRECT("Pianificazione!c1:c300")&amp;INDIRECT("Pianificazione!a1:a300"),0)),"hh:mm"),"")&amp;"-"&amp;IFERROR(TEXT(INDEX(INDIRECT("Pianificazione!f1:f300"),MATCH($A12&amp;E$1,INDIRECT("Pianificazione!c1:c300")&amp;INDIRECT("Pianificazione!a1:a300"),0)),"hh:mm"),"")="-","Riposo",IFERROR(TEXT(INDEX(INDIRECT("Pianificazione!e1:e300"),MATCH($A12&amp;E$1,INDIRECT("Pianificazione!c1:c300")&amp;INDIRECT("Pianificazione!a1:a300"),0)),"hh:mm"),"")&amp;"-"&amp;IFERROR(TEXT(INDEX(INDIRECT("Pianificazione!f1:f300"),MATCH($A12&amp;E$1,INDIRECT("Pianificazione!c1:c300")&amp;INDIRECT("Pianificazione!a1:a300"),0)),"hh:mm"),""))</f>
        <v>Riposo</v>
      </c>
      <c r="F12" s="15" t="str" cm="1">
        <f t="array" aca="1" ref="F12" ca="1">+IF(IFERROR(TEXT(INDEX(INDIRECT("Pianificazione!e1:e300"),MATCH($A12&amp;F$1,INDIRECT("Pianificazione!c1:c300")&amp;INDIRECT("Pianificazione!a1:a300"),0)),"hh:mm"),"")&amp;"-"&amp;IFERROR(TEXT(INDEX(INDIRECT("Pianificazione!f1:f300"),MATCH($A12&amp;F$1,INDIRECT("Pianificazione!c1:c300")&amp;INDIRECT("Pianificazione!a1:a300"),0)),"hh:mm"),"")="-","Riposo",IFERROR(TEXT(INDEX(INDIRECT("Pianificazione!e1:e300"),MATCH($A12&amp;F$1,INDIRECT("Pianificazione!c1:c300")&amp;INDIRECT("Pianificazione!a1:a300"),0)),"hh:mm"),"")&amp;"-"&amp;IFERROR(TEXT(INDEX(INDIRECT("Pianificazione!f1:f300"),MATCH($A12&amp;F$1,INDIRECT("Pianificazione!c1:c300")&amp;INDIRECT("Pianificazione!a1:a300"),0)),"hh:mm"),""))</f>
        <v>Riposo</v>
      </c>
      <c r="G12" s="15" t="str" cm="1">
        <f t="array" aca="1" ref="G12" ca="1">+IF(IFERROR(TEXT(INDEX(INDIRECT("Pianificazione!e1:e300"),MATCH($A12&amp;G$1,INDIRECT("Pianificazione!c1:c300")&amp;INDIRECT("Pianificazione!a1:a300"),0)),"hh:mm"),"")&amp;"-"&amp;IFERROR(TEXT(INDEX(INDIRECT("Pianificazione!f1:f300"),MATCH($A12&amp;G$1,INDIRECT("Pianificazione!c1:c300")&amp;INDIRECT("Pianificazione!a1:a300"),0)),"hh:mm"),"")="-","Riposo",IFERROR(TEXT(INDEX(INDIRECT("Pianificazione!e1:e300"),MATCH($A12&amp;G$1,INDIRECT("Pianificazione!c1:c300")&amp;INDIRECT("Pianificazione!a1:a300"),0)),"hh:mm"),"")&amp;"-"&amp;IFERROR(TEXT(INDEX(INDIRECT("Pianificazione!f1:f300"),MATCH($A12&amp;G$1,INDIRECT("Pianificazione!c1:c300")&amp;INDIRECT("Pianificazione!a1:a300"),0)),"hh:mm"),""))</f>
        <v>Riposo</v>
      </c>
      <c r="H12" s="15" t="str" cm="1">
        <f t="array" aca="1" ref="H12" ca="1">+IF(IFERROR(TEXT(INDEX(INDIRECT("Pianificazione!e1:e300"),MATCH($A12&amp;H$1,INDIRECT("Pianificazione!c1:c300")&amp;INDIRECT("Pianificazione!a1:a300"),0)),"hh:mm"),"")&amp;"-"&amp;IFERROR(TEXT(INDEX(INDIRECT("Pianificazione!f1:f300"),MATCH($A12&amp;H$1,INDIRECT("Pianificazione!c1:c300")&amp;INDIRECT("Pianificazione!a1:a300"),0)),"hh:mm"),"")="-","Riposo",IFERROR(TEXT(INDEX(INDIRECT("Pianificazione!e1:e300"),MATCH($A12&amp;H$1,INDIRECT("Pianificazione!c1:c300")&amp;INDIRECT("Pianificazione!a1:a300"),0)),"hh:mm"),"")&amp;"-"&amp;IFERROR(TEXT(INDEX(INDIRECT("Pianificazione!f1:f300"),MATCH($A12&amp;H$1,INDIRECT("Pianificazione!c1:c300")&amp;INDIRECT("Pianificazione!a1:a300"),0)),"hh:mm"),""))</f>
        <v>Riposo</v>
      </c>
      <c r="J12" s="4">
        <v>1</v>
      </c>
    </row>
    <row r="13" spans="1:19">
      <c r="A13" t="str">
        <f>+Risorse!B13</f>
        <v>Antonia D'Angelo</v>
      </c>
      <c r="B13" s="15" t="str" cm="1">
        <f t="array" aca="1" ref="B13" ca="1">+IF(IFERROR(TEXT(INDEX(INDIRECT("Pianificazione!e1:e300"),MATCH($A13&amp;B$1,INDIRECT("Pianificazione!c1:c300")&amp;INDIRECT("Pianificazione!a1:a300"),0)),"hh:mm"),"")&amp;"-"&amp;IFERROR(TEXT(INDEX(INDIRECT("Pianificazione!f1:f300"),MATCH($A13&amp;B$1,INDIRECT("Pianificazione!c1:c300")&amp;INDIRECT("Pianificazione!a1:a300"),0)),"hh:mm"),"")="-","Riposo",IFERROR(TEXT(INDEX(INDIRECT("Pianificazione!e1:e300"),MATCH($A13&amp;B$1,INDIRECT("Pianificazione!c1:c300")&amp;INDIRECT("Pianificazione!a1:a300"),0)),"hh:mm"),"")&amp;"-"&amp;IFERROR(TEXT(INDEX(INDIRECT("Pianificazione!f1:f300"),MATCH($A13&amp;B$1,INDIRECT("Pianificazione!c1:c300")&amp;INDIRECT("Pianificazione!a1:a300"),0)),"hh:mm"),""))</f>
        <v>Riposo</v>
      </c>
      <c r="C13" s="15" t="str" cm="1">
        <f t="array" aca="1" ref="C13" ca="1">+IF(IFERROR(TEXT(INDEX(INDIRECT("Pianificazione!e1:e300"),MATCH($A13&amp;C$1,INDIRECT("Pianificazione!c1:c300")&amp;INDIRECT("Pianificazione!a1:a300"),0)),"hh:mm"),"")&amp;"-"&amp;IFERROR(TEXT(INDEX(INDIRECT("Pianificazione!f1:f300"),MATCH($A13&amp;C$1,INDIRECT("Pianificazione!c1:c300")&amp;INDIRECT("Pianificazione!a1:a300"),0)),"hh:mm"),"")="-","Riposo",IFERROR(TEXT(INDEX(INDIRECT("Pianificazione!e1:e300"),MATCH($A13&amp;C$1,INDIRECT("Pianificazione!c1:c300")&amp;INDIRECT("Pianificazione!a1:a300"),0)),"hh:mm"),"")&amp;"-"&amp;IFERROR(TEXT(INDEX(INDIRECT("Pianificazione!f1:f300"),MATCH($A13&amp;C$1,INDIRECT("Pianificazione!c1:c300")&amp;INDIRECT("Pianificazione!a1:a300"),0)),"hh:mm"),""))</f>
        <v>Riposo</v>
      </c>
      <c r="D13" s="15" t="str" cm="1">
        <f t="array" aca="1" ref="D13" ca="1">+IF(IFERROR(TEXT(INDEX(INDIRECT("Pianificazione!e1:e300"),MATCH($A13&amp;D$1,INDIRECT("Pianificazione!c1:c300")&amp;INDIRECT("Pianificazione!a1:a300"),0)),"hh:mm"),"")&amp;"-"&amp;IFERROR(TEXT(INDEX(INDIRECT("Pianificazione!f1:f300"),MATCH($A13&amp;D$1,INDIRECT("Pianificazione!c1:c300")&amp;INDIRECT("Pianificazione!a1:a300"),0)),"hh:mm"),"")="-","Riposo",IFERROR(TEXT(INDEX(INDIRECT("Pianificazione!e1:e300"),MATCH($A13&amp;D$1,INDIRECT("Pianificazione!c1:c300")&amp;INDIRECT("Pianificazione!a1:a300"),0)),"hh:mm"),"")&amp;"-"&amp;IFERROR(TEXT(INDEX(INDIRECT("Pianificazione!f1:f300"),MATCH($A13&amp;D$1,INDIRECT("Pianificazione!c1:c300")&amp;INDIRECT("Pianificazione!a1:a300"),0)),"hh:mm"),""))</f>
        <v>Riposo</v>
      </c>
      <c r="E13" s="15" t="str" cm="1">
        <f t="array" aca="1" ref="E13" ca="1">+IF(IFERROR(TEXT(INDEX(INDIRECT("Pianificazione!e1:e300"),MATCH($A13&amp;E$1,INDIRECT("Pianificazione!c1:c300")&amp;INDIRECT("Pianificazione!a1:a300"),0)),"hh:mm"),"")&amp;"-"&amp;IFERROR(TEXT(INDEX(INDIRECT("Pianificazione!f1:f300"),MATCH($A13&amp;E$1,INDIRECT("Pianificazione!c1:c300")&amp;INDIRECT("Pianificazione!a1:a300"),0)),"hh:mm"),"")="-","Riposo",IFERROR(TEXT(INDEX(INDIRECT("Pianificazione!e1:e300"),MATCH($A13&amp;E$1,INDIRECT("Pianificazione!c1:c300")&amp;INDIRECT("Pianificazione!a1:a300"),0)),"hh:mm"),"")&amp;"-"&amp;IFERROR(TEXT(INDEX(INDIRECT("Pianificazione!f1:f300"),MATCH($A13&amp;E$1,INDIRECT("Pianificazione!c1:c300")&amp;INDIRECT("Pianificazione!a1:a300"),0)),"hh:mm"),""))</f>
        <v>Riposo</v>
      </c>
      <c r="F13" s="15" t="str" cm="1">
        <f t="array" aca="1" ref="F13" ca="1">+IF(IFERROR(TEXT(INDEX(INDIRECT("Pianificazione!e1:e300"),MATCH($A13&amp;F$1,INDIRECT("Pianificazione!c1:c300")&amp;INDIRECT("Pianificazione!a1:a300"),0)),"hh:mm"),"")&amp;"-"&amp;IFERROR(TEXT(INDEX(INDIRECT("Pianificazione!f1:f300"),MATCH($A13&amp;F$1,INDIRECT("Pianificazione!c1:c300")&amp;INDIRECT("Pianificazione!a1:a300"),0)),"hh:mm"),"")="-","Riposo",IFERROR(TEXT(INDEX(INDIRECT("Pianificazione!e1:e300"),MATCH($A13&amp;F$1,INDIRECT("Pianificazione!c1:c300")&amp;INDIRECT("Pianificazione!a1:a300"),0)),"hh:mm"),"")&amp;"-"&amp;IFERROR(TEXT(INDEX(INDIRECT("Pianificazione!f1:f300"),MATCH($A13&amp;F$1,INDIRECT("Pianificazione!c1:c300")&amp;INDIRECT("Pianificazione!a1:a300"),0)),"hh:mm"),""))</f>
        <v>Riposo</v>
      </c>
      <c r="G13" s="15" t="str" cm="1">
        <f t="array" aca="1" ref="G13" ca="1">+IF(IFERROR(TEXT(INDEX(INDIRECT("Pianificazione!e1:e300"),MATCH($A13&amp;G$1,INDIRECT("Pianificazione!c1:c300")&amp;INDIRECT("Pianificazione!a1:a300"),0)),"hh:mm"),"")&amp;"-"&amp;IFERROR(TEXT(INDEX(INDIRECT("Pianificazione!f1:f300"),MATCH($A13&amp;G$1,INDIRECT("Pianificazione!c1:c300")&amp;INDIRECT("Pianificazione!a1:a300"),0)),"hh:mm"),"")="-","Riposo",IFERROR(TEXT(INDEX(INDIRECT("Pianificazione!e1:e300"),MATCH($A13&amp;G$1,INDIRECT("Pianificazione!c1:c300")&amp;INDIRECT("Pianificazione!a1:a300"),0)),"hh:mm"),"")&amp;"-"&amp;IFERROR(TEXT(INDEX(INDIRECT("Pianificazione!f1:f300"),MATCH($A13&amp;G$1,INDIRECT("Pianificazione!c1:c300")&amp;INDIRECT("Pianificazione!a1:a300"),0)),"hh:mm"),""))</f>
        <v>Riposo</v>
      </c>
      <c r="H13" s="15" t="str" cm="1">
        <f t="array" aca="1" ref="H13" ca="1">+IF(IFERROR(TEXT(INDEX(INDIRECT("Pianificazione!e1:e300"),MATCH($A13&amp;H$1,INDIRECT("Pianificazione!c1:c300")&amp;INDIRECT("Pianificazione!a1:a300"),0)),"hh:mm"),"")&amp;"-"&amp;IFERROR(TEXT(INDEX(INDIRECT("Pianificazione!f1:f300"),MATCH($A13&amp;H$1,INDIRECT("Pianificazione!c1:c300")&amp;INDIRECT("Pianificazione!a1:a300"),0)),"hh:mm"),"")="-","Riposo",IFERROR(TEXT(INDEX(INDIRECT("Pianificazione!e1:e300"),MATCH($A13&amp;H$1,INDIRECT("Pianificazione!c1:c300")&amp;INDIRECT("Pianificazione!a1:a300"),0)),"hh:mm"),"")&amp;"-"&amp;IFERROR(TEXT(INDEX(INDIRECT("Pianificazione!f1:f300"),MATCH($A13&amp;H$1,INDIRECT("Pianificazione!c1:c300")&amp;INDIRECT("Pianificazione!a1:a300"),0)),"hh:mm"),""))</f>
        <v>Riposo</v>
      </c>
      <c r="J13" s="4">
        <v>1</v>
      </c>
    </row>
    <row r="14" spans="1:19">
      <c r="A14" t="str">
        <f>+Risorse!B14</f>
        <v>Rosalinda Guadagno</v>
      </c>
      <c r="B14" s="15" t="str" cm="1">
        <f t="array" aca="1" ref="B14" ca="1">+IF(IFERROR(TEXT(INDEX(INDIRECT("Pianificazione!e1:e300"),MATCH($A14&amp;B$1,INDIRECT("Pianificazione!c1:c300")&amp;INDIRECT("Pianificazione!a1:a300"),0)),"hh:mm"),"")&amp;"-"&amp;IFERROR(TEXT(INDEX(INDIRECT("Pianificazione!f1:f300"),MATCH($A14&amp;B$1,INDIRECT("Pianificazione!c1:c300")&amp;INDIRECT("Pianificazione!a1:a300"),0)),"hh:mm"),"")="-","Riposo",IFERROR(TEXT(INDEX(INDIRECT("Pianificazione!e1:e300"),MATCH($A14&amp;B$1,INDIRECT("Pianificazione!c1:c300")&amp;INDIRECT("Pianificazione!a1:a300"),0)),"hh:mm"),"")&amp;"-"&amp;IFERROR(TEXT(INDEX(INDIRECT("Pianificazione!f1:f300"),MATCH($A14&amp;B$1,INDIRECT("Pianificazione!c1:c300")&amp;INDIRECT("Pianificazione!a1:a300"),0)),"hh:mm"),""))</f>
        <v>Riposo</v>
      </c>
      <c r="C14" s="15" t="str" cm="1">
        <f t="array" aca="1" ref="C14" ca="1">+IF(IFERROR(TEXT(INDEX(INDIRECT("Pianificazione!e1:e300"),MATCH($A14&amp;C$1,INDIRECT("Pianificazione!c1:c300")&amp;INDIRECT("Pianificazione!a1:a300"),0)),"hh:mm"),"")&amp;"-"&amp;IFERROR(TEXT(INDEX(INDIRECT("Pianificazione!f1:f300"),MATCH($A14&amp;C$1,INDIRECT("Pianificazione!c1:c300")&amp;INDIRECT("Pianificazione!a1:a300"),0)),"hh:mm"),"")="-","Riposo",IFERROR(TEXT(INDEX(INDIRECT("Pianificazione!e1:e300"),MATCH($A14&amp;C$1,INDIRECT("Pianificazione!c1:c300")&amp;INDIRECT("Pianificazione!a1:a300"),0)),"hh:mm"),"")&amp;"-"&amp;IFERROR(TEXT(INDEX(INDIRECT("Pianificazione!f1:f300"),MATCH($A14&amp;C$1,INDIRECT("Pianificazione!c1:c300")&amp;INDIRECT("Pianificazione!a1:a300"),0)),"hh:mm"),""))</f>
        <v>Riposo</v>
      </c>
      <c r="D14" s="15" t="str" cm="1">
        <f t="array" aca="1" ref="D14" ca="1">+IF(IFERROR(TEXT(INDEX(INDIRECT("Pianificazione!e1:e300"),MATCH($A14&amp;D$1,INDIRECT("Pianificazione!c1:c300")&amp;INDIRECT("Pianificazione!a1:a300"),0)),"hh:mm"),"")&amp;"-"&amp;IFERROR(TEXT(INDEX(INDIRECT("Pianificazione!f1:f300"),MATCH($A14&amp;D$1,INDIRECT("Pianificazione!c1:c300")&amp;INDIRECT("Pianificazione!a1:a300"),0)),"hh:mm"),"")="-","Riposo",IFERROR(TEXT(INDEX(INDIRECT("Pianificazione!e1:e300"),MATCH($A14&amp;D$1,INDIRECT("Pianificazione!c1:c300")&amp;INDIRECT("Pianificazione!a1:a300"),0)),"hh:mm"),"")&amp;"-"&amp;IFERROR(TEXT(INDEX(INDIRECT("Pianificazione!f1:f300"),MATCH($A14&amp;D$1,INDIRECT("Pianificazione!c1:c300")&amp;INDIRECT("Pianificazione!a1:a300"),0)),"hh:mm"),""))</f>
        <v>Riposo</v>
      </c>
      <c r="E14" s="15" t="str" cm="1">
        <f t="array" aca="1" ref="E14" ca="1">+IF(IFERROR(TEXT(INDEX(INDIRECT("Pianificazione!e1:e300"),MATCH($A14&amp;E$1,INDIRECT("Pianificazione!c1:c300")&amp;INDIRECT("Pianificazione!a1:a300"),0)),"hh:mm"),"")&amp;"-"&amp;IFERROR(TEXT(INDEX(INDIRECT("Pianificazione!f1:f300"),MATCH($A14&amp;E$1,INDIRECT("Pianificazione!c1:c300")&amp;INDIRECT("Pianificazione!a1:a300"),0)),"hh:mm"),"")="-","Riposo",IFERROR(TEXT(INDEX(INDIRECT("Pianificazione!e1:e300"),MATCH($A14&amp;E$1,INDIRECT("Pianificazione!c1:c300")&amp;INDIRECT("Pianificazione!a1:a300"),0)),"hh:mm"),"")&amp;"-"&amp;IFERROR(TEXT(INDEX(INDIRECT("Pianificazione!f1:f300"),MATCH($A14&amp;E$1,INDIRECT("Pianificazione!c1:c300")&amp;INDIRECT("Pianificazione!a1:a300"),0)),"hh:mm"),""))</f>
        <v>Riposo</v>
      </c>
      <c r="F14" s="15" t="str" cm="1">
        <f t="array" aca="1" ref="F14" ca="1">+IF(IFERROR(TEXT(INDEX(INDIRECT("Pianificazione!e1:e300"),MATCH($A14&amp;F$1,INDIRECT("Pianificazione!c1:c300")&amp;INDIRECT("Pianificazione!a1:a300"),0)),"hh:mm"),"")&amp;"-"&amp;IFERROR(TEXT(INDEX(INDIRECT("Pianificazione!f1:f300"),MATCH($A14&amp;F$1,INDIRECT("Pianificazione!c1:c300")&amp;INDIRECT("Pianificazione!a1:a300"),0)),"hh:mm"),"")="-","Riposo",IFERROR(TEXT(INDEX(INDIRECT("Pianificazione!e1:e300"),MATCH($A14&amp;F$1,INDIRECT("Pianificazione!c1:c300")&amp;INDIRECT("Pianificazione!a1:a300"),0)),"hh:mm"),"")&amp;"-"&amp;IFERROR(TEXT(INDEX(INDIRECT("Pianificazione!f1:f300"),MATCH($A14&amp;F$1,INDIRECT("Pianificazione!c1:c300")&amp;INDIRECT("Pianificazione!a1:a300"),0)),"hh:mm"),""))</f>
        <v>Riposo</v>
      </c>
      <c r="G14" s="15" t="str" cm="1">
        <f t="array" aca="1" ref="G14" ca="1">+IF(IFERROR(TEXT(INDEX(INDIRECT("Pianificazione!e1:e300"),MATCH($A14&amp;G$1,INDIRECT("Pianificazione!c1:c300")&amp;INDIRECT("Pianificazione!a1:a300"),0)),"hh:mm"),"")&amp;"-"&amp;IFERROR(TEXT(INDEX(INDIRECT("Pianificazione!f1:f300"),MATCH($A14&amp;G$1,INDIRECT("Pianificazione!c1:c300")&amp;INDIRECT("Pianificazione!a1:a300"),0)),"hh:mm"),"")="-","Riposo",IFERROR(TEXT(INDEX(INDIRECT("Pianificazione!e1:e300"),MATCH($A14&amp;G$1,INDIRECT("Pianificazione!c1:c300")&amp;INDIRECT("Pianificazione!a1:a300"),0)),"hh:mm"),"")&amp;"-"&amp;IFERROR(TEXT(INDEX(INDIRECT("Pianificazione!f1:f300"),MATCH($A14&amp;G$1,INDIRECT("Pianificazione!c1:c300")&amp;INDIRECT("Pianificazione!a1:a300"),0)),"hh:mm"),""))</f>
        <v>Riposo</v>
      </c>
      <c r="H14" s="15" t="str" cm="1">
        <f t="array" aca="1" ref="H14" ca="1">+IF(IFERROR(TEXT(INDEX(INDIRECT("Pianificazione!e1:e300"),MATCH($A14&amp;H$1,INDIRECT("Pianificazione!c1:c300")&amp;INDIRECT("Pianificazione!a1:a300"),0)),"hh:mm"),"")&amp;"-"&amp;IFERROR(TEXT(INDEX(INDIRECT("Pianificazione!f1:f300"),MATCH($A14&amp;H$1,INDIRECT("Pianificazione!c1:c300")&amp;INDIRECT("Pianificazione!a1:a300"),0)),"hh:mm"),"")="-","Riposo",IFERROR(TEXT(INDEX(INDIRECT("Pianificazione!e1:e300"),MATCH($A14&amp;H$1,INDIRECT("Pianificazione!c1:c300")&amp;INDIRECT("Pianificazione!a1:a300"),0)),"hh:mm"),"")&amp;"-"&amp;IFERROR(TEXT(INDEX(INDIRECT("Pianificazione!f1:f300"),MATCH($A14&amp;H$1,INDIRECT("Pianificazione!c1:c300")&amp;INDIRECT("Pianificazione!a1:a300"),0)),"hh:mm"),""))</f>
        <v>Riposo</v>
      </c>
      <c r="J14" s="4">
        <v>1</v>
      </c>
    </row>
    <row r="15" spans="1:19">
      <c r="A15" t="str">
        <f>+Risorse!B15</f>
        <v>Valentina D'Anna</v>
      </c>
      <c r="B15" s="15" t="str" cm="1">
        <f t="array" aca="1" ref="B15" ca="1">+IF(IFERROR(TEXT(INDEX(INDIRECT("Pianificazione!e1:e300"),MATCH($A15&amp;B$1,INDIRECT("Pianificazione!c1:c300")&amp;INDIRECT("Pianificazione!a1:a300"),0)),"hh:mm"),"")&amp;"-"&amp;IFERROR(TEXT(INDEX(INDIRECT("Pianificazione!f1:f300"),MATCH($A15&amp;B$1,INDIRECT("Pianificazione!c1:c300")&amp;INDIRECT("Pianificazione!a1:a300"),0)),"hh:mm"),"")="-","Riposo",IFERROR(TEXT(INDEX(INDIRECT("Pianificazione!e1:e300"),MATCH($A15&amp;B$1,INDIRECT("Pianificazione!c1:c300")&amp;INDIRECT("Pianificazione!a1:a300"),0)),"hh:mm"),"")&amp;"-"&amp;IFERROR(TEXT(INDEX(INDIRECT("Pianificazione!f1:f300"),MATCH($A15&amp;B$1,INDIRECT("Pianificazione!c1:c300")&amp;INDIRECT("Pianificazione!a1:a300"),0)),"hh:mm"),""))</f>
        <v>Riposo</v>
      </c>
      <c r="C15" s="15" t="str" cm="1">
        <f t="array" aca="1" ref="C15" ca="1">+IF(IFERROR(TEXT(INDEX(INDIRECT("Pianificazione!e1:e300"),MATCH($A15&amp;C$1,INDIRECT("Pianificazione!c1:c300")&amp;INDIRECT("Pianificazione!a1:a300"),0)),"hh:mm"),"")&amp;"-"&amp;IFERROR(TEXT(INDEX(INDIRECT("Pianificazione!f1:f300"),MATCH($A15&amp;C$1,INDIRECT("Pianificazione!c1:c300")&amp;INDIRECT("Pianificazione!a1:a300"),0)),"hh:mm"),"")="-","Riposo",IFERROR(TEXT(INDEX(INDIRECT("Pianificazione!e1:e300"),MATCH($A15&amp;C$1,INDIRECT("Pianificazione!c1:c300")&amp;INDIRECT("Pianificazione!a1:a300"),0)),"hh:mm"),"")&amp;"-"&amp;IFERROR(TEXT(INDEX(INDIRECT("Pianificazione!f1:f300"),MATCH($A15&amp;C$1,INDIRECT("Pianificazione!c1:c300")&amp;INDIRECT("Pianificazione!a1:a300"),0)),"hh:mm"),""))</f>
        <v>Riposo</v>
      </c>
      <c r="D15" s="15" t="str" cm="1">
        <f t="array" aca="1" ref="D15" ca="1">+IF(IFERROR(TEXT(INDEX(INDIRECT("Pianificazione!e1:e300"),MATCH($A15&amp;D$1,INDIRECT("Pianificazione!c1:c300")&amp;INDIRECT("Pianificazione!a1:a300"),0)),"hh:mm"),"")&amp;"-"&amp;IFERROR(TEXT(INDEX(INDIRECT("Pianificazione!f1:f300"),MATCH($A15&amp;D$1,INDIRECT("Pianificazione!c1:c300")&amp;INDIRECT("Pianificazione!a1:a300"),0)),"hh:mm"),"")="-","Riposo",IFERROR(TEXT(INDEX(INDIRECT("Pianificazione!e1:e300"),MATCH($A15&amp;D$1,INDIRECT("Pianificazione!c1:c300")&amp;INDIRECT("Pianificazione!a1:a300"),0)),"hh:mm"),"")&amp;"-"&amp;IFERROR(TEXT(INDEX(INDIRECT("Pianificazione!f1:f300"),MATCH($A15&amp;D$1,INDIRECT("Pianificazione!c1:c300")&amp;INDIRECT("Pianificazione!a1:a300"),0)),"hh:mm"),""))</f>
        <v>Riposo</v>
      </c>
      <c r="E15" s="15" t="str" cm="1">
        <f t="array" aca="1" ref="E15" ca="1">+IF(IFERROR(TEXT(INDEX(INDIRECT("Pianificazione!e1:e300"),MATCH($A15&amp;E$1,INDIRECT("Pianificazione!c1:c300")&amp;INDIRECT("Pianificazione!a1:a300"),0)),"hh:mm"),"")&amp;"-"&amp;IFERROR(TEXT(INDEX(INDIRECT("Pianificazione!f1:f300"),MATCH($A15&amp;E$1,INDIRECT("Pianificazione!c1:c300")&amp;INDIRECT("Pianificazione!a1:a300"),0)),"hh:mm"),"")="-","Riposo",IFERROR(TEXT(INDEX(INDIRECT("Pianificazione!e1:e300"),MATCH($A15&amp;E$1,INDIRECT("Pianificazione!c1:c300")&amp;INDIRECT("Pianificazione!a1:a300"),0)),"hh:mm"),"")&amp;"-"&amp;IFERROR(TEXT(INDEX(INDIRECT("Pianificazione!f1:f300"),MATCH($A15&amp;E$1,INDIRECT("Pianificazione!c1:c300")&amp;INDIRECT("Pianificazione!a1:a300"),0)),"hh:mm"),""))</f>
        <v>Riposo</v>
      </c>
      <c r="F15" s="15" t="str" cm="1">
        <f t="array" aca="1" ref="F15" ca="1">+IF(IFERROR(TEXT(INDEX(INDIRECT("Pianificazione!e1:e300"),MATCH($A15&amp;F$1,INDIRECT("Pianificazione!c1:c300")&amp;INDIRECT("Pianificazione!a1:a300"),0)),"hh:mm"),"")&amp;"-"&amp;IFERROR(TEXT(INDEX(INDIRECT("Pianificazione!f1:f300"),MATCH($A15&amp;F$1,INDIRECT("Pianificazione!c1:c300")&amp;INDIRECT("Pianificazione!a1:a300"),0)),"hh:mm"),"")="-","Riposo",IFERROR(TEXT(INDEX(INDIRECT("Pianificazione!e1:e300"),MATCH($A15&amp;F$1,INDIRECT("Pianificazione!c1:c300")&amp;INDIRECT("Pianificazione!a1:a300"),0)),"hh:mm"),"")&amp;"-"&amp;IFERROR(TEXT(INDEX(INDIRECT("Pianificazione!f1:f300"),MATCH($A15&amp;F$1,INDIRECT("Pianificazione!c1:c300")&amp;INDIRECT("Pianificazione!a1:a300"),0)),"hh:mm"),""))</f>
        <v>Riposo</v>
      </c>
      <c r="G15" s="15" t="str" cm="1">
        <f t="array" aca="1" ref="G15" ca="1">+IF(IFERROR(TEXT(INDEX(INDIRECT("Pianificazione!e1:e300"),MATCH($A15&amp;G$1,INDIRECT("Pianificazione!c1:c300")&amp;INDIRECT("Pianificazione!a1:a300"),0)),"hh:mm"),"")&amp;"-"&amp;IFERROR(TEXT(INDEX(INDIRECT("Pianificazione!f1:f300"),MATCH($A15&amp;G$1,INDIRECT("Pianificazione!c1:c300")&amp;INDIRECT("Pianificazione!a1:a300"),0)),"hh:mm"),"")="-","Riposo",IFERROR(TEXT(INDEX(INDIRECT("Pianificazione!e1:e300"),MATCH($A15&amp;G$1,INDIRECT("Pianificazione!c1:c300")&amp;INDIRECT("Pianificazione!a1:a300"),0)),"hh:mm"),"")&amp;"-"&amp;IFERROR(TEXT(INDEX(INDIRECT("Pianificazione!f1:f300"),MATCH($A15&amp;G$1,INDIRECT("Pianificazione!c1:c300")&amp;INDIRECT("Pianificazione!a1:a300"),0)),"hh:mm"),""))</f>
        <v>Riposo</v>
      </c>
      <c r="H15" s="15" t="str" cm="1">
        <f t="array" aca="1" ref="H15" ca="1">+IF(IFERROR(TEXT(INDEX(INDIRECT("Pianificazione!e1:e300"),MATCH($A15&amp;H$1,INDIRECT("Pianificazione!c1:c300")&amp;INDIRECT("Pianificazione!a1:a300"),0)),"hh:mm"),"")&amp;"-"&amp;IFERROR(TEXT(INDEX(INDIRECT("Pianificazione!f1:f300"),MATCH($A15&amp;H$1,INDIRECT("Pianificazione!c1:c300")&amp;INDIRECT("Pianificazione!a1:a300"),0)),"hh:mm"),"")="-","Riposo",IFERROR(TEXT(INDEX(INDIRECT("Pianificazione!e1:e300"),MATCH($A15&amp;H$1,INDIRECT("Pianificazione!c1:c300")&amp;INDIRECT("Pianificazione!a1:a300"),0)),"hh:mm"),"")&amp;"-"&amp;IFERROR(TEXT(INDEX(INDIRECT("Pianificazione!f1:f300"),MATCH($A15&amp;H$1,INDIRECT("Pianificazione!c1:c300")&amp;INDIRECT("Pianificazione!a1:a300"),0)),"hh:mm"),""))</f>
        <v>Riposo</v>
      </c>
      <c r="J15" s="4">
        <v>1</v>
      </c>
    </row>
    <row r="16" spans="1:19">
      <c r="A16" t="str">
        <f>+Risorse!B16</f>
        <v>Greta Amita</v>
      </c>
      <c r="B16" s="15" t="str" cm="1">
        <f t="array" aca="1" ref="B16" ca="1">+IF(IFERROR(TEXT(INDEX(INDIRECT("Pianificazione!e1:e300"),MATCH($A16&amp;B$1,INDIRECT("Pianificazione!c1:c300")&amp;INDIRECT("Pianificazione!a1:a300"),0)),"hh:mm"),"")&amp;"-"&amp;IFERROR(TEXT(INDEX(INDIRECT("Pianificazione!f1:f300"),MATCH($A16&amp;B$1,INDIRECT("Pianificazione!c1:c300")&amp;INDIRECT("Pianificazione!a1:a300"),0)),"hh:mm"),"")="-","Riposo",IFERROR(TEXT(INDEX(INDIRECT("Pianificazione!e1:e300"),MATCH($A16&amp;B$1,INDIRECT("Pianificazione!c1:c300")&amp;INDIRECT("Pianificazione!a1:a300"),0)),"hh:mm"),"")&amp;"-"&amp;IFERROR(TEXT(INDEX(INDIRECT("Pianificazione!f1:f300"),MATCH($A16&amp;B$1,INDIRECT("Pianificazione!c1:c300")&amp;INDIRECT("Pianificazione!a1:a300"),0)),"hh:mm"),""))</f>
        <v>Riposo</v>
      </c>
      <c r="C16" s="15" t="str" cm="1">
        <f t="array" aca="1" ref="C16" ca="1">+IF(IFERROR(TEXT(INDEX(INDIRECT("Pianificazione!e1:e300"),MATCH($A16&amp;C$1,INDIRECT("Pianificazione!c1:c300")&amp;INDIRECT("Pianificazione!a1:a300"),0)),"hh:mm"),"")&amp;"-"&amp;IFERROR(TEXT(INDEX(INDIRECT("Pianificazione!f1:f300"),MATCH($A16&amp;C$1,INDIRECT("Pianificazione!c1:c300")&amp;INDIRECT("Pianificazione!a1:a300"),0)),"hh:mm"),"")="-","Riposo",IFERROR(TEXT(INDEX(INDIRECT("Pianificazione!e1:e300"),MATCH($A16&amp;C$1,INDIRECT("Pianificazione!c1:c300")&amp;INDIRECT("Pianificazione!a1:a300"),0)),"hh:mm"),"")&amp;"-"&amp;IFERROR(TEXT(INDEX(INDIRECT("Pianificazione!f1:f300"),MATCH($A16&amp;C$1,INDIRECT("Pianificazione!c1:c300")&amp;INDIRECT("Pianificazione!a1:a300"),0)),"hh:mm"),""))</f>
        <v>Riposo</v>
      </c>
      <c r="D16" s="15" t="str" cm="1">
        <f t="array" aca="1" ref="D16" ca="1">+IF(IFERROR(TEXT(INDEX(INDIRECT("Pianificazione!e1:e300"),MATCH($A16&amp;D$1,INDIRECT("Pianificazione!c1:c300")&amp;INDIRECT("Pianificazione!a1:a300"),0)),"hh:mm"),"")&amp;"-"&amp;IFERROR(TEXT(INDEX(INDIRECT("Pianificazione!f1:f300"),MATCH($A16&amp;D$1,INDIRECT("Pianificazione!c1:c300")&amp;INDIRECT("Pianificazione!a1:a300"),0)),"hh:mm"),"")="-","Riposo",IFERROR(TEXT(INDEX(INDIRECT("Pianificazione!e1:e300"),MATCH($A16&amp;D$1,INDIRECT("Pianificazione!c1:c300")&amp;INDIRECT("Pianificazione!a1:a300"),0)),"hh:mm"),"")&amp;"-"&amp;IFERROR(TEXT(INDEX(INDIRECT("Pianificazione!f1:f300"),MATCH($A16&amp;D$1,INDIRECT("Pianificazione!c1:c300")&amp;INDIRECT("Pianificazione!a1:a300"),0)),"hh:mm"),""))</f>
        <v>Riposo</v>
      </c>
      <c r="E16" s="15" t="str" cm="1">
        <f t="array" aca="1" ref="E16" ca="1">+IF(IFERROR(TEXT(INDEX(INDIRECT("Pianificazione!e1:e300"),MATCH($A16&amp;E$1,INDIRECT("Pianificazione!c1:c300")&amp;INDIRECT("Pianificazione!a1:a300"),0)),"hh:mm"),"")&amp;"-"&amp;IFERROR(TEXT(INDEX(INDIRECT("Pianificazione!f1:f300"),MATCH($A16&amp;E$1,INDIRECT("Pianificazione!c1:c300")&amp;INDIRECT("Pianificazione!a1:a300"),0)),"hh:mm"),"")="-","Riposo",IFERROR(TEXT(INDEX(INDIRECT("Pianificazione!e1:e300"),MATCH($A16&amp;E$1,INDIRECT("Pianificazione!c1:c300")&amp;INDIRECT("Pianificazione!a1:a300"),0)),"hh:mm"),"")&amp;"-"&amp;IFERROR(TEXT(INDEX(INDIRECT("Pianificazione!f1:f300"),MATCH($A16&amp;E$1,INDIRECT("Pianificazione!c1:c300")&amp;INDIRECT("Pianificazione!a1:a300"),0)),"hh:mm"),""))</f>
        <v>Riposo</v>
      </c>
      <c r="F16" s="15" t="str" cm="1">
        <f t="array" aca="1" ref="F16" ca="1">+IF(IFERROR(TEXT(INDEX(INDIRECT("Pianificazione!e1:e300"),MATCH($A16&amp;F$1,INDIRECT("Pianificazione!c1:c300")&amp;INDIRECT("Pianificazione!a1:a300"),0)),"hh:mm"),"")&amp;"-"&amp;IFERROR(TEXT(INDEX(INDIRECT("Pianificazione!f1:f300"),MATCH($A16&amp;F$1,INDIRECT("Pianificazione!c1:c300")&amp;INDIRECT("Pianificazione!a1:a300"),0)),"hh:mm"),"")="-","Riposo",IFERROR(TEXT(INDEX(INDIRECT("Pianificazione!e1:e300"),MATCH($A16&amp;F$1,INDIRECT("Pianificazione!c1:c300")&amp;INDIRECT("Pianificazione!a1:a300"),0)),"hh:mm"),"")&amp;"-"&amp;IFERROR(TEXT(INDEX(INDIRECT("Pianificazione!f1:f300"),MATCH($A16&amp;F$1,INDIRECT("Pianificazione!c1:c300")&amp;INDIRECT("Pianificazione!a1:a300"),0)),"hh:mm"),""))</f>
        <v>Riposo</v>
      </c>
      <c r="G16" s="15" t="str" cm="1">
        <f t="array" aca="1" ref="G16" ca="1">+IF(IFERROR(TEXT(INDEX(INDIRECT("Pianificazione!e1:e300"),MATCH($A16&amp;G$1,INDIRECT("Pianificazione!c1:c300")&amp;INDIRECT("Pianificazione!a1:a300"),0)),"hh:mm"),"")&amp;"-"&amp;IFERROR(TEXT(INDEX(INDIRECT("Pianificazione!f1:f300"),MATCH($A16&amp;G$1,INDIRECT("Pianificazione!c1:c300")&amp;INDIRECT("Pianificazione!a1:a300"),0)),"hh:mm"),"")="-","Riposo",IFERROR(TEXT(INDEX(INDIRECT("Pianificazione!e1:e300"),MATCH($A16&amp;G$1,INDIRECT("Pianificazione!c1:c300")&amp;INDIRECT("Pianificazione!a1:a300"),0)),"hh:mm"),"")&amp;"-"&amp;IFERROR(TEXT(INDEX(INDIRECT("Pianificazione!f1:f300"),MATCH($A16&amp;G$1,INDIRECT("Pianificazione!c1:c300")&amp;INDIRECT("Pianificazione!a1:a300"),0)),"hh:mm"),""))</f>
        <v>Riposo</v>
      </c>
      <c r="H16" s="15" t="str" cm="1">
        <f t="array" aca="1" ref="H16" ca="1">+IF(IFERROR(TEXT(INDEX(INDIRECT("Pianificazione!e1:e300"),MATCH($A16&amp;H$1,INDIRECT("Pianificazione!c1:c300")&amp;INDIRECT("Pianificazione!a1:a300"),0)),"hh:mm"),"")&amp;"-"&amp;IFERROR(TEXT(INDEX(INDIRECT("Pianificazione!f1:f300"),MATCH($A16&amp;H$1,INDIRECT("Pianificazione!c1:c300")&amp;INDIRECT("Pianificazione!a1:a300"),0)),"hh:mm"),"")="-","Riposo",IFERROR(TEXT(INDEX(INDIRECT("Pianificazione!e1:e300"),MATCH($A16&amp;H$1,INDIRECT("Pianificazione!c1:c300")&amp;INDIRECT("Pianificazione!a1:a300"),0)),"hh:mm"),"")&amp;"-"&amp;IFERROR(TEXT(INDEX(INDIRECT("Pianificazione!f1:f300"),MATCH($A16&amp;H$1,INDIRECT("Pianificazione!c1:c300")&amp;INDIRECT("Pianificazione!a1:a300"),0)),"hh:mm"),""))</f>
        <v>Riposo</v>
      </c>
      <c r="J16" s="4">
        <v>1</v>
      </c>
    </row>
    <row r="17" spans="1:10">
      <c r="A17" t="str">
        <f>+Risorse!B17</f>
        <v>Carmela Liotti</v>
      </c>
      <c r="B17" s="15" t="str" cm="1">
        <f t="array" aca="1" ref="B17" ca="1">+IF(IFERROR(TEXT(INDEX(INDIRECT("Pianificazione!e1:e300"),MATCH($A17&amp;B$1,INDIRECT("Pianificazione!c1:c300")&amp;INDIRECT("Pianificazione!a1:a300"),0)),"hh:mm"),"")&amp;"-"&amp;IFERROR(TEXT(INDEX(INDIRECT("Pianificazione!f1:f300"),MATCH($A17&amp;B$1,INDIRECT("Pianificazione!c1:c300")&amp;INDIRECT("Pianificazione!a1:a300"),0)),"hh:mm"),"")="-","Riposo",IFERROR(TEXT(INDEX(INDIRECT("Pianificazione!e1:e300"),MATCH($A17&amp;B$1,INDIRECT("Pianificazione!c1:c300")&amp;INDIRECT("Pianificazione!a1:a300"),0)),"hh:mm"),"")&amp;"-"&amp;IFERROR(TEXT(INDEX(INDIRECT("Pianificazione!f1:f300"),MATCH($A17&amp;B$1,INDIRECT("Pianificazione!c1:c300")&amp;INDIRECT("Pianificazione!a1:a300"),0)),"hh:mm"),""))</f>
        <v>Riposo</v>
      </c>
      <c r="C17" s="15" t="str" cm="1">
        <f t="array" aca="1" ref="C17" ca="1">+IF(IFERROR(TEXT(INDEX(INDIRECT("Pianificazione!e1:e300"),MATCH($A17&amp;C$1,INDIRECT("Pianificazione!c1:c300")&amp;INDIRECT("Pianificazione!a1:a300"),0)),"hh:mm"),"")&amp;"-"&amp;IFERROR(TEXT(INDEX(INDIRECT("Pianificazione!f1:f300"),MATCH($A17&amp;C$1,INDIRECT("Pianificazione!c1:c300")&amp;INDIRECT("Pianificazione!a1:a300"),0)),"hh:mm"),"")="-","Riposo",IFERROR(TEXT(INDEX(INDIRECT("Pianificazione!e1:e300"),MATCH($A17&amp;C$1,INDIRECT("Pianificazione!c1:c300")&amp;INDIRECT("Pianificazione!a1:a300"),0)),"hh:mm"),"")&amp;"-"&amp;IFERROR(TEXT(INDEX(INDIRECT("Pianificazione!f1:f300"),MATCH($A17&amp;C$1,INDIRECT("Pianificazione!c1:c300")&amp;INDIRECT("Pianificazione!a1:a300"),0)),"hh:mm"),""))</f>
        <v>Riposo</v>
      </c>
      <c r="D17" s="15" t="str" cm="1">
        <f t="array" aca="1" ref="D17" ca="1">+IF(IFERROR(TEXT(INDEX(INDIRECT("Pianificazione!e1:e300"),MATCH($A17&amp;D$1,INDIRECT("Pianificazione!c1:c300")&amp;INDIRECT("Pianificazione!a1:a300"),0)),"hh:mm"),"")&amp;"-"&amp;IFERROR(TEXT(INDEX(INDIRECT("Pianificazione!f1:f300"),MATCH($A17&amp;D$1,INDIRECT("Pianificazione!c1:c300")&amp;INDIRECT("Pianificazione!a1:a300"),0)),"hh:mm"),"")="-","Riposo",IFERROR(TEXT(INDEX(INDIRECT("Pianificazione!e1:e300"),MATCH($A17&amp;D$1,INDIRECT("Pianificazione!c1:c300")&amp;INDIRECT("Pianificazione!a1:a300"),0)),"hh:mm"),"")&amp;"-"&amp;IFERROR(TEXT(INDEX(INDIRECT("Pianificazione!f1:f300"),MATCH($A17&amp;D$1,INDIRECT("Pianificazione!c1:c300")&amp;INDIRECT("Pianificazione!a1:a300"),0)),"hh:mm"),""))</f>
        <v>Riposo</v>
      </c>
      <c r="E17" s="15" t="str" cm="1">
        <f t="array" aca="1" ref="E17" ca="1">+IF(IFERROR(TEXT(INDEX(INDIRECT("Pianificazione!e1:e300"),MATCH($A17&amp;E$1,INDIRECT("Pianificazione!c1:c300")&amp;INDIRECT("Pianificazione!a1:a300"),0)),"hh:mm"),"")&amp;"-"&amp;IFERROR(TEXT(INDEX(INDIRECT("Pianificazione!f1:f300"),MATCH($A17&amp;E$1,INDIRECT("Pianificazione!c1:c300")&amp;INDIRECT("Pianificazione!a1:a300"),0)),"hh:mm"),"")="-","Riposo",IFERROR(TEXT(INDEX(INDIRECT("Pianificazione!e1:e300"),MATCH($A17&amp;E$1,INDIRECT("Pianificazione!c1:c300")&amp;INDIRECT("Pianificazione!a1:a300"),0)),"hh:mm"),"")&amp;"-"&amp;IFERROR(TEXT(INDEX(INDIRECT("Pianificazione!f1:f300"),MATCH($A17&amp;E$1,INDIRECT("Pianificazione!c1:c300")&amp;INDIRECT("Pianificazione!a1:a300"),0)),"hh:mm"),""))</f>
        <v>Riposo</v>
      </c>
      <c r="F17" s="15" t="str" cm="1">
        <f t="array" aca="1" ref="F17" ca="1">+IF(IFERROR(TEXT(INDEX(INDIRECT("Pianificazione!e1:e300"),MATCH($A17&amp;F$1,INDIRECT("Pianificazione!c1:c300")&amp;INDIRECT("Pianificazione!a1:a300"),0)),"hh:mm"),"")&amp;"-"&amp;IFERROR(TEXT(INDEX(INDIRECT("Pianificazione!f1:f300"),MATCH($A17&amp;F$1,INDIRECT("Pianificazione!c1:c300")&amp;INDIRECT("Pianificazione!a1:a300"),0)),"hh:mm"),"")="-","Riposo",IFERROR(TEXT(INDEX(INDIRECT("Pianificazione!e1:e300"),MATCH($A17&amp;F$1,INDIRECT("Pianificazione!c1:c300")&amp;INDIRECT("Pianificazione!a1:a300"),0)),"hh:mm"),"")&amp;"-"&amp;IFERROR(TEXT(INDEX(INDIRECT("Pianificazione!f1:f300"),MATCH($A17&amp;F$1,INDIRECT("Pianificazione!c1:c300")&amp;INDIRECT("Pianificazione!a1:a300"),0)),"hh:mm"),""))</f>
        <v>Riposo</v>
      </c>
      <c r="G17" s="15" t="str" cm="1">
        <f t="array" aca="1" ref="G17" ca="1">+IF(IFERROR(TEXT(INDEX(INDIRECT("Pianificazione!e1:e300"),MATCH($A17&amp;G$1,INDIRECT("Pianificazione!c1:c300")&amp;INDIRECT("Pianificazione!a1:a300"),0)),"hh:mm"),"")&amp;"-"&amp;IFERROR(TEXT(INDEX(INDIRECT("Pianificazione!f1:f300"),MATCH($A17&amp;G$1,INDIRECT("Pianificazione!c1:c300")&amp;INDIRECT("Pianificazione!a1:a300"),0)),"hh:mm"),"")="-","Riposo",IFERROR(TEXT(INDEX(INDIRECT("Pianificazione!e1:e300"),MATCH($A17&amp;G$1,INDIRECT("Pianificazione!c1:c300")&amp;INDIRECT("Pianificazione!a1:a300"),0)),"hh:mm"),"")&amp;"-"&amp;IFERROR(TEXT(INDEX(INDIRECT("Pianificazione!f1:f300"),MATCH($A17&amp;G$1,INDIRECT("Pianificazione!c1:c300")&amp;INDIRECT("Pianificazione!a1:a300"),0)),"hh:mm"),""))</f>
        <v>Riposo</v>
      </c>
      <c r="H17" s="15" t="str" cm="1">
        <f t="array" aca="1" ref="H17" ca="1">+IF(IFERROR(TEXT(INDEX(INDIRECT("Pianificazione!e1:e300"),MATCH($A17&amp;H$1,INDIRECT("Pianificazione!c1:c300")&amp;INDIRECT("Pianificazione!a1:a300"),0)),"hh:mm"),"")&amp;"-"&amp;IFERROR(TEXT(INDEX(INDIRECT("Pianificazione!f1:f300"),MATCH($A17&amp;H$1,INDIRECT("Pianificazione!c1:c300")&amp;INDIRECT("Pianificazione!a1:a300"),0)),"hh:mm"),"")="-","Riposo",IFERROR(TEXT(INDEX(INDIRECT("Pianificazione!e1:e300"),MATCH($A17&amp;H$1,INDIRECT("Pianificazione!c1:c300")&amp;INDIRECT("Pianificazione!a1:a300"),0)),"hh:mm"),"")&amp;"-"&amp;IFERROR(TEXT(INDEX(INDIRECT("Pianificazione!f1:f300"),MATCH($A17&amp;H$1,INDIRECT("Pianificazione!c1:c300")&amp;INDIRECT("Pianificazione!a1:a300"),0)),"hh:mm"),""))</f>
        <v>Riposo</v>
      </c>
      <c r="J17" s="4">
        <v>1</v>
      </c>
    </row>
    <row r="18" spans="1:10">
      <c r="A18" t="str">
        <f>+Risorse!B18</f>
        <v>Alessia D'Angelo</v>
      </c>
      <c r="B18" s="15" t="str" cm="1">
        <f t="array" aca="1" ref="B18" ca="1">+IF(IFERROR(TEXT(INDEX(INDIRECT("Pianificazione!e1:e300"),MATCH($A18&amp;B$1,INDIRECT("Pianificazione!c1:c300")&amp;INDIRECT("Pianificazione!a1:a300"),0)),"hh:mm"),"")&amp;"-"&amp;IFERROR(TEXT(INDEX(INDIRECT("Pianificazione!f1:f300"),MATCH($A18&amp;B$1,INDIRECT("Pianificazione!c1:c300")&amp;INDIRECT("Pianificazione!a1:a300"),0)),"hh:mm"),"")="-","Riposo",IFERROR(TEXT(INDEX(INDIRECT("Pianificazione!e1:e300"),MATCH($A18&amp;B$1,INDIRECT("Pianificazione!c1:c300")&amp;INDIRECT("Pianificazione!a1:a300"),0)),"hh:mm"),"")&amp;"-"&amp;IFERROR(TEXT(INDEX(INDIRECT("Pianificazione!f1:f300"),MATCH($A18&amp;B$1,INDIRECT("Pianificazione!c1:c300")&amp;INDIRECT("Pianificazione!a1:a300"),0)),"hh:mm"),""))</f>
        <v>Riposo</v>
      </c>
      <c r="C18" s="15" t="str" cm="1">
        <f t="array" aca="1" ref="C18" ca="1">+IF(IFERROR(TEXT(INDEX(INDIRECT("Pianificazione!e1:e300"),MATCH($A18&amp;C$1,INDIRECT("Pianificazione!c1:c300")&amp;INDIRECT("Pianificazione!a1:a300"),0)),"hh:mm"),"")&amp;"-"&amp;IFERROR(TEXT(INDEX(INDIRECT("Pianificazione!f1:f300"),MATCH($A18&amp;C$1,INDIRECT("Pianificazione!c1:c300")&amp;INDIRECT("Pianificazione!a1:a300"),0)),"hh:mm"),"")="-","Riposo",IFERROR(TEXT(INDEX(INDIRECT("Pianificazione!e1:e300"),MATCH($A18&amp;C$1,INDIRECT("Pianificazione!c1:c300")&amp;INDIRECT("Pianificazione!a1:a300"),0)),"hh:mm"),"")&amp;"-"&amp;IFERROR(TEXT(INDEX(INDIRECT("Pianificazione!f1:f300"),MATCH($A18&amp;C$1,INDIRECT("Pianificazione!c1:c300")&amp;INDIRECT("Pianificazione!a1:a300"),0)),"hh:mm"),""))</f>
        <v>Riposo</v>
      </c>
      <c r="D18" s="15" t="str" cm="1">
        <f t="array" aca="1" ref="D18" ca="1">+IF(IFERROR(TEXT(INDEX(INDIRECT("Pianificazione!e1:e300"),MATCH($A18&amp;D$1,INDIRECT("Pianificazione!c1:c300")&amp;INDIRECT("Pianificazione!a1:a300"),0)),"hh:mm"),"")&amp;"-"&amp;IFERROR(TEXT(INDEX(INDIRECT("Pianificazione!f1:f300"),MATCH($A18&amp;D$1,INDIRECT("Pianificazione!c1:c300")&amp;INDIRECT("Pianificazione!a1:a300"),0)),"hh:mm"),"")="-","Riposo",IFERROR(TEXT(INDEX(INDIRECT("Pianificazione!e1:e300"),MATCH($A18&amp;D$1,INDIRECT("Pianificazione!c1:c300")&amp;INDIRECT("Pianificazione!a1:a300"),0)),"hh:mm"),"")&amp;"-"&amp;IFERROR(TEXT(INDEX(INDIRECT("Pianificazione!f1:f300"),MATCH($A18&amp;D$1,INDIRECT("Pianificazione!c1:c300")&amp;INDIRECT("Pianificazione!a1:a300"),0)),"hh:mm"),""))</f>
        <v>Riposo</v>
      </c>
      <c r="E18" s="15" t="str" cm="1">
        <f t="array" aca="1" ref="E18" ca="1">+IF(IFERROR(TEXT(INDEX(INDIRECT("Pianificazione!e1:e300"),MATCH($A18&amp;E$1,INDIRECT("Pianificazione!c1:c300")&amp;INDIRECT("Pianificazione!a1:a300"),0)),"hh:mm"),"")&amp;"-"&amp;IFERROR(TEXT(INDEX(INDIRECT("Pianificazione!f1:f300"),MATCH($A18&amp;E$1,INDIRECT("Pianificazione!c1:c300")&amp;INDIRECT("Pianificazione!a1:a300"),0)),"hh:mm"),"")="-","Riposo",IFERROR(TEXT(INDEX(INDIRECT("Pianificazione!e1:e300"),MATCH($A18&amp;E$1,INDIRECT("Pianificazione!c1:c300")&amp;INDIRECT("Pianificazione!a1:a300"),0)),"hh:mm"),"")&amp;"-"&amp;IFERROR(TEXT(INDEX(INDIRECT("Pianificazione!f1:f300"),MATCH($A18&amp;E$1,INDIRECT("Pianificazione!c1:c300")&amp;INDIRECT("Pianificazione!a1:a300"),0)),"hh:mm"),""))</f>
        <v>Riposo</v>
      </c>
      <c r="F18" s="15" t="str" cm="1">
        <f t="array" aca="1" ref="F18" ca="1">+IF(IFERROR(TEXT(INDEX(INDIRECT("Pianificazione!e1:e300"),MATCH($A18&amp;F$1,INDIRECT("Pianificazione!c1:c300")&amp;INDIRECT("Pianificazione!a1:a300"),0)),"hh:mm"),"")&amp;"-"&amp;IFERROR(TEXT(INDEX(INDIRECT("Pianificazione!f1:f300"),MATCH($A18&amp;F$1,INDIRECT("Pianificazione!c1:c300")&amp;INDIRECT("Pianificazione!a1:a300"),0)),"hh:mm"),"")="-","Riposo",IFERROR(TEXT(INDEX(INDIRECT("Pianificazione!e1:e300"),MATCH($A18&amp;F$1,INDIRECT("Pianificazione!c1:c300")&amp;INDIRECT("Pianificazione!a1:a300"),0)),"hh:mm"),"")&amp;"-"&amp;IFERROR(TEXT(INDEX(INDIRECT("Pianificazione!f1:f300"),MATCH($A18&amp;F$1,INDIRECT("Pianificazione!c1:c300")&amp;INDIRECT("Pianificazione!a1:a300"),0)),"hh:mm"),""))</f>
        <v>Riposo</v>
      </c>
      <c r="G18" s="15" t="str" cm="1">
        <f t="array" aca="1" ref="G18" ca="1">+IF(IFERROR(TEXT(INDEX(INDIRECT("Pianificazione!e1:e300"),MATCH($A18&amp;G$1,INDIRECT("Pianificazione!c1:c300")&amp;INDIRECT("Pianificazione!a1:a300"),0)),"hh:mm"),"")&amp;"-"&amp;IFERROR(TEXT(INDEX(INDIRECT("Pianificazione!f1:f300"),MATCH($A18&amp;G$1,INDIRECT("Pianificazione!c1:c300")&amp;INDIRECT("Pianificazione!a1:a300"),0)),"hh:mm"),"")="-","Riposo",IFERROR(TEXT(INDEX(INDIRECT("Pianificazione!e1:e300"),MATCH($A18&amp;G$1,INDIRECT("Pianificazione!c1:c300")&amp;INDIRECT("Pianificazione!a1:a300"),0)),"hh:mm"),"")&amp;"-"&amp;IFERROR(TEXT(INDEX(INDIRECT("Pianificazione!f1:f300"),MATCH($A18&amp;G$1,INDIRECT("Pianificazione!c1:c300")&amp;INDIRECT("Pianificazione!a1:a300"),0)),"hh:mm"),""))</f>
        <v>Riposo</v>
      </c>
      <c r="H18" s="15" t="str" cm="1">
        <f t="array" aca="1" ref="H18" ca="1">+IF(IFERROR(TEXT(INDEX(INDIRECT("Pianificazione!e1:e300"),MATCH($A18&amp;H$1,INDIRECT("Pianificazione!c1:c300")&amp;INDIRECT("Pianificazione!a1:a300"),0)),"hh:mm"),"")&amp;"-"&amp;IFERROR(TEXT(INDEX(INDIRECT("Pianificazione!f1:f300"),MATCH($A18&amp;H$1,INDIRECT("Pianificazione!c1:c300")&amp;INDIRECT("Pianificazione!a1:a300"),0)),"hh:mm"),"")="-","Riposo",IFERROR(TEXT(INDEX(INDIRECT("Pianificazione!e1:e300"),MATCH($A18&amp;H$1,INDIRECT("Pianificazione!c1:c300")&amp;INDIRECT("Pianificazione!a1:a300"),0)),"hh:mm"),"")&amp;"-"&amp;IFERROR(TEXT(INDEX(INDIRECT("Pianificazione!f1:f300"),MATCH($A18&amp;H$1,INDIRECT("Pianificazione!c1:c300")&amp;INDIRECT("Pianificazione!a1:a300"),0)),"hh:mm"),""))</f>
        <v>Riposo</v>
      </c>
      <c r="J18" s="4">
        <v>1</v>
      </c>
    </row>
    <row r="19" spans="1:10">
      <c r="A19" t="str">
        <f>+Risorse!B19</f>
        <v>Ilaria Majer</v>
      </c>
      <c r="B19" s="15" t="str" cm="1">
        <f t="array" aca="1" ref="B19" ca="1">+IF(IFERROR(TEXT(INDEX(INDIRECT("Pianificazione!e1:e300"),MATCH($A19&amp;B$1,INDIRECT("Pianificazione!c1:c300")&amp;INDIRECT("Pianificazione!a1:a300"),0)),"hh:mm"),"")&amp;"-"&amp;IFERROR(TEXT(INDEX(INDIRECT("Pianificazione!f1:f300"),MATCH($A19&amp;B$1,INDIRECT("Pianificazione!c1:c300")&amp;INDIRECT("Pianificazione!a1:a300"),0)),"hh:mm"),"")="-","Riposo",IFERROR(TEXT(INDEX(INDIRECT("Pianificazione!e1:e300"),MATCH($A19&amp;B$1,INDIRECT("Pianificazione!c1:c300")&amp;INDIRECT("Pianificazione!a1:a300"),0)),"hh:mm"),"")&amp;"-"&amp;IFERROR(TEXT(INDEX(INDIRECT("Pianificazione!f1:f300"),MATCH($A19&amp;B$1,INDIRECT("Pianificazione!c1:c300")&amp;INDIRECT("Pianificazione!a1:a300"),0)),"hh:mm"),""))</f>
        <v>Riposo</v>
      </c>
      <c r="C19" s="15" t="str" cm="1">
        <f t="array" aca="1" ref="C19" ca="1">+IF(IFERROR(TEXT(INDEX(INDIRECT("Pianificazione!e1:e300"),MATCH($A19&amp;C$1,INDIRECT("Pianificazione!c1:c300")&amp;INDIRECT("Pianificazione!a1:a300"),0)),"hh:mm"),"")&amp;"-"&amp;IFERROR(TEXT(INDEX(INDIRECT("Pianificazione!f1:f300"),MATCH($A19&amp;C$1,INDIRECT("Pianificazione!c1:c300")&amp;INDIRECT("Pianificazione!a1:a300"),0)),"hh:mm"),"")="-","Riposo",IFERROR(TEXT(INDEX(INDIRECT("Pianificazione!e1:e300"),MATCH($A19&amp;C$1,INDIRECT("Pianificazione!c1:c300")&amp;INDIRECT("Pianificazione!a1:a300"),0)),"hh:mm"),"")&amp;"-"&amp;IFERROR(TEXT(INDEX(INDIRECT("Pianificazione!f1:f300"),MATCH($A19&amp;C$1,INDIRECT("Pianificazione!c1:c300")&amp;INDIRECT("Pianificazione!a1:a300"),0)),"hh:mm"),""))</f>
        <v>Riposo</v>
      </c>
      <c r="D19" s="15" t="str" cm="1">
        <f t="array" aca="1" ref="D19" ca="1">+IF(IFERROR(TEXT(INDEX(INDIRECT("Pianificazione!e1:e300"),MATCH($A19&amp;D$1,INDIRECT("Pianificazione!c1:c300")&amp;INDIRECT("Pianificazione!a1:a300"),0)),"hh:mm"),"")&amp;"-"&amp;IFERROR(TEXT(INDEX(INDIRECT("Pianificazione!f1:f300"),MATCH($A19&amp;D$1,INDIRECT("Pianificazione!c1:c300")&amp;INDIRECT("Pianificazione!a1:a300"),0)),"hh:mm"),"")="-","Riposo",IFERROR(TEXT(INDEX(INDIRECT("Pianificazione!e1:e300"),MATCH($A19&amp;D$1,INDIRECT("Pianificazione!c1:c300")&amp;INDIRECT("Pianificazione!a1:a300"),0)),"hh:mm"),"")&amp;"-"&amp;IFERROR(TEXT(INDEX(INDIRECT("Pianificazione!f1:f300"),MATCH($A19&amp;D$1,INDIRECT("Pianificazione!c1:c300")&amp;INDIRECT("Pianificazione!a1:a300"),0)),"hh:mm"),""))</f>
        <v>Riposo</v>
      </c>
      <c r="E19" s="15" t="str" cm="1">
        <f t="array" aca="1" ref="E19" ca="1">+IF(IFERROR(TEXT(INDEX(INDIRECT("Pianificazione!e1:e300"),MATCH($A19&amp;E$1,INDIRECT("Pianificazione!c1:c300")&amp;INDIRECT("Pianificazione!a1:a300"),0)),"hh:mm"),"")&amp;"-"&amp;IFERROR(TEXT(INDEX(INDIRECT("Pianificazione!f1:f300"),MATCH($A19&amp;E$1,INDIRECT("Pianificazione!c1:c300")&amp;INDIRECT("Pianificazione!a1:a300"),0)),"hh:mm"),"")="-","Riposo",IFERROR(TEXT(INDEX(INDIRECT("Pianificazione!e1:e300"),MATCH($A19&amp;E$1,INDIRECT("Pianificazione!c1:c300")&amp;INDIRECT("Pianificazione!a1:a300"),0)),"hh:mm"),"")&amp;"-"&amp;IFERROR(TEXT(INDEX(INDIRECT("Pianificazione!f1:f300"),MATCH($A19&amp;E$1,INDIRECT("Pianificazione!c1:c300")&amp;INDIRECT("Pianificazione!a1:a300"),0)),"hh:mm"),""))</f>
        <v>Riposo</v>
      </c>
      <c r="F19" s="15" t="str" cm="1">
        <f t="array" aca="1" ref="F19" ca="1">+IF(IFERROR(TEXT(INDEX(INDIRECT("Pianificazione!e1:e300"),MATCH($A19&amp;F$1,INDIRECT("Pianificazione!c1:c300")&amp;INDIRECT("Pianificazione!a1:a300"),0)),"hh:mm"),"")&amp;"-"&amp;IFERROR(TEXT(INDEX(INDIRECT("Pianificazione!f1:f300"),MATCH($A19&amp;F$1,INDIRECT("Pianificazione!c1:c300")&amp;INDIRECT("Pianificazione!a1:a300"),0)),"hh:mm"),"")="-","Riposo",IFERROR(TEXT(INDEX(INDIRECT("Pianificazione!e1:e300"),MATCH($A19&amp;F$1,INDIRECT("Pianificazione!c1:c300")&amp;INDIRECT("Pianificazione!a1:a300"),0)),"hh:mm"),"")&amp;"-"&amp;IFERROR(TEXT(INDEX(INDIRECT("Pianificazione!f1:f300"),MATCH($A19&amp;F$1,INDIRECT("Pianificazione!c1:c300")&amp;INDIRECT("Pianificazione!a1:a300"),0)),"hh:mm"),""))</f>
        <v>Riposo</v>
      </c>
      <c r="G19" s="15" t="str" cm="1">
        <f t="array" aca="1" ref="G19" ca="1">+IF(IFERROR(TEXT(INDEX(INDIRECT("Pianificazione!e1:e300"),MATCH($A19&amp;G$1,INDIRECT("Pianificazione!c1:c300")&amp;INDIRECT("Pianificazione!a1:a300"),0)),"hh:mm"),"")&amp;"-"&amp;IFERROR(TEXT(INDEX(INDIRECT("Pianificazione!f1:f300"),MATCH($A19&amp;G$1,INDIRECT("Pianificazione!c1:c300")&amp;INDIRECT("Pianificazione!a1:a300"),0)),"hh:mm"),"")="-","Riposo",IFERROR(TEXT(INDEX(INDIRECT("Pianificazione!e1:e300"),MATCH($A19&amp;G$1,INDIRECT("Pianificazione!c1:c300")&amp;INDIRECT("Pianificazione!a1:a300"),0)),"hh:mm"),"")&amp;"-"&amp;IFERROR(TEXT(INDEX(INDIRECT("Pianificazione!f1:f300"),MATCH($A19&amp;G$1,INDIRECT("Pianificazione!c1:c300")&amp;INDIRECT("Pianificazione!a1:a300"),0)),"hh:mm"),""))</f>
        <v>Riposo</v>
      </c>
      <c r="H19" s="15" t="str" cm="1">
        <f t="array" aca="1" ref="H19" ca="1">+IF(IFERROR(TEXT(INDEX(INDIRECT("Pianificazione!e1:e300"),MATCH($A19&amp;H$1,INDIRECT("Pianificazione!c1:c300")&amp;INDIRECT("Pianificazione!a1:a300"),0)),"hh:mm"),"")&amp;"-"&amp;IFERROR(TEXT(INDEX(INDIRECT("Pianificazione!f1:f300"),MATCH($A19&amp;H$1,INDIRECT("Pianificazione!c1:c300")&amp;INDIRECT("Pianificazione!a1:a300"),0)),"hh:mm"),"")="-","Riposo",IFERROR(TEXT(INDEX(INDIRECT("Pianificazione!e1:e300"),MATCH($A19&amp;H$1,INDIRECT("Pianificazione!c1:c300")&amp;INDIRECT("Pianificazione!a1:a300"),0)),"hh:mm"),"")&amp;"-"&amp;IFERROR(TEXT(INDEX(INDIRECT("Pianificazione!f1:f300"),MATCH($A19&amp;H$1,INDIRECT("Pianificazione!c1:c300")&amp;INDIRECT("Pianificazione!a1:a300"),0)),"hh:mm"),""))</f>
        <v>Riposo</v>
      </c>
      <c r="J19" s="4">
        <v>1</v>
      </c>
    </row>
    <row r="20" spans="1:10">
      <c r="A20" t="str">
        <f>+Risorse!B20</f>
        <v>Fortuna Guarino</v>
      </c>
      <c r="B20" s="15" t="str" cm="1">
        <f t="array" aca="1" ref="B20" ca="1">+IF(IFERROR(TEXT(INDEX(INDIRECT("Pianificazione!e1:e300"),MATCH($A20&amp;B$1,INDIRECT("Pianificazione!c1:c300")&amp;INDIRECT("Pianificazione!a1:a300"),0)),"hh:mm"),"")&amp;"-"&amp;IFERROR(TEXT(INDEX(INDIRECT("Pianificazione!f1:f300"),MATCH($A20&amp;B$1,INDIRECT("Pianificazione!c1:c300")&amp;INDIRECT("Pianificazione!a1:a300"),0)),"hh:mm"),"")="-","Riposo",IFERROR(TEXT(INDEX(INDIRECT("Pianificazione!e1:e300"),MATCH($A20&amp;B$1,INDIRECT("Pianificazione!c1:c300")&amp;INDIRECT("Pianificazione!a1:a300"),0)),"hh:mm"),"")&amp;"-"&amp;IFERROR(TEXT(INDEX(INDIRECT("Pianificazione!f1:f300"),MATCH($A20&amp;B$1,INDIRECT("Pianificazione!c1:c300")&amp;INDIRECT("Pianificazione!a1:a300"),0)),"hh:mm"),""))</f>
        <v>Riposo</v>
      </c>
      <c r="C20" s="15" t="str" cm="1">
        <f t="array" aca="1" ref="C20" ca="1">+IF(IFERROR(TEXT(INDEX(INDIRECT("Pianificazione!e1:e300"),MATCH($A20&amp;C$1,INDIRECT("Pianificazione!c1:c300")&amp;INDIRECT("Pianificazione!a1:a300"),0)),"hh:mm"),"")&amp;"-"&amp;IFERROR(TEXT(INDEX(INDIRECT("Pianificazione!f1:f300"),MATCH($A20&amp;C$1,INDIRECT("Pianificazione!c1:c300")&amp;INDIRECT("Pianificazione!a1:a300"),0)),"hh:mm"),"")="-","Riposo",IFERROR(TEXT(INDEX(INDIRECT("Pianificazione!e1:e300"),MATCH($A20&amp;C$1,INDIRECT("Pianificazione!c1:c300")&amp;INDIRECT("Pianificazione!a1:a300"),0)),"hh:mm"),"")&amp;"-"&amp;IFERROR(TEXT(INDEX(INDIRECT("Pianificazione!f1:f300"),MATCH($A20&amp;C$1,INDIRECT("Pianificazione!c1:c300")&amp;INDIRECT("Pianificazione!a1:a300"),0)),"hh:mm"),""))</f>
        <v>Riposo</v>
      </c>
      <c r="D20" s="15" t="str" cm="1">
        <f t="array" aca="1" ref="D20" ca="1">+IF(IFERROR(TEXT(INDEX(INDIRECT("Pianificazione!e1:e300"),MATCH($A20&amp;D$1,INDIRECT("Pianificazione!c1:c300")&amp;INDIRECT("Pianificazione!a1:a300"),0)),"hh:mm"),"")&amp;"-"&amp;IFERROR(TEXT(INDEX(INDIRECT("Pianificazione!f1:f300"),MATCH($A20&amp;D$1,INDIRECT("Pianificazione!c1:c300")&amp;INDIRECT("Pianificazione!a1:a300"),0)),"hh:mm"),"")="-","Riposo",IFERROR(TEXT(INDEX(INDIRECT("Pianificazione!e1:e300"),MATCH($A20&amp;D$1,INDIRECT("Pianificazione!c1:c300")&amp;INDIRECT("Pianificazione!a1:a300"),0)),"hh:mm"),"")&amp;"-"&amp;IFERROR(TEXT(INDEX(INDIRECT("Pianificazione!f1:f300"),MATCH($A20&amp;D$1,INDIRECT("Pianificazione!c1:c300")&amp;INDIRECT("Pianificazione!a1:a300"),0)),"hh:mm"),""))</f>
        <v>Riposo</v>
      </c>
      <c r="E20" s="15" t="str" cm="1">
        <f t="array" aca="1" ref="E20" ca="1">+IF(IFERROR(TEXT(INDEX(INDIRECT("Pianificazione!e1:e300"),MATCH($A20&amp;E$1,INDIRECT("Pianificazione!c1:c300")&amp;INDIRECT("Pianificazione!a1:a300"),0)),"hh:mm"),"")&amp;"-"&amp;IFERROR(TEXT(INDEX(INDIRECT("Pianificazione!f1:f300"),MATCH($A20&amp;E$1,INDIRECT("Pianificazione!c1:c300")&amp;INDIRECT("Pianificazione!a1:a300"),0)),"hh:mm"),"")="-","Riposo",IFERROR(TEXT(INDEX(INDIRECT("Pianificazione!e1:e300"),MATCH($A20&amp;E$1,INDIRECT("Pianificazione!c1:c300")&amp;INDIRECT("Pianificazione!a1:a300"),0)),"hh:mm"),"")&amp;"-"&amp;IFERROR(TEXT(INDEX(INDIRECT("Pianificazione!f1:f300"),MATCH($A20&amp;E$1,INDIRECT("Pianificazione!c1:c300")&amp;INDIRECT("Pianificazione!a1:a300"),0)),"hh:mm"),""))</f>
        <v>Riposo</v>
      </c>
      <c r="F20" s="15" t="str" cm="1">
        <f t="array" aca="1" ref="F20" ca="1">+IF(IFERROR(TEXT(INDEX(INDIRECT("Pianificazione!e1:e300"),MATCH($A20&amp;F$1,INDIRECT("Pianificazione!c1:c300")&amp;INDIRECT("Pianificazione!a1:a300"),0)),"hh:mm"),"")&amp;"-"&amp;IFERROR(TEXT(INDEX(INDIRECT("Pianificazione!f1:f300"),MATCH($A20&amp;F$1,INDIRECT("Pianificazione!c1:c300")&amp;INDIRECT("Pianificazione!a1:a300"),0)),"hh:mm"),"")="-","Riposo",IFERROR(TEXT(INDEX(INDIRECT("Pianificazione!e1:e300"),MATCH($A20&amp;F$1,INDIRECT("Pianificazione!c1:c300")&amp;INDIRECT("Pianificazione!a1:a300"),0)),"hh:mm"),"")&amp;"-"&amp;IFERROR(TEXT(INDEX(INDIRECT("Pianificazione!f1:f300"),MATCH($A20&amp;F$1,INDIRECT("Pianificazione!c1:c300")&amp;INDIRECT("Pianificazione!a1:a300"),0)),"hh:mm"),""))</f>
        <v>Riposo</v>
      </c>
      <c r="G20" s="15" t="str" cm="1">
        <f t="array" aca="1" ref="G20" ca="1">+IF(IFERROR(TEXT(INDEX(INDIRECT("Pianificazione!e1:e300"),MATCH($A20&amp;G$1,INDIRECT("Pianificazione!c1:c300")&amp;INDIRECT("Pianificazione!a1:a300"),0)),"hh:mm"),"")&amp;"-"&amp;IFERROR(TEXT(INDEX(INDIRECT("Pianificazione!f1:f300"),MATCH($A20&amp;G$1,INDIRECT("Pianificazione!c1:c300")&amp;INDIRECT("Pianificazione!a1:a300"),0)),"hh:mm"),"")="-","Riposo",IFERROR(TEXT(INDEX(INDIRECT("Pianificazione!e1:e300"),MATCH($A20&amp;G$1,INDIRECT("Pianificazione!c1:c300")&amp;INDIRECT("Pianificazione!a1:a300"),0)),"hh:mm"),"")&amp;"-"&amp;IFERROR(TEXT(INDEX(INDIRECT("Pianificazione!f1:f300"),MATCH($A20&amp;G$1,INDIRECT("Pianificazione!c1:c300")&amp;INDIRECT("Pianificazione!a1:a300"),0)),"hh:mm"),""))</f>
        <v>Riposo</v>
      </c>
      <c r="H20" s="15" t="str" cm="1">
        <f t="array" aca="1" ref="H20" ca="1">+IF(IFERROR(TEXT(INDEX(INDIRECT("Pianificazione!e1:e300"),MATCH($A20&amp;H$1,INDIRECT("Pianificazione!c1:c300")&amp;INDIRECT("Pianificazione!a1:a300"),0)),"hh:mm"),"")&amp;"-"&amp;IFERROR(TEXT(INDEX(INDIRECT("Pianificazione!f1:f300"),MATCH($A20&amp;H$1,INDIRECT("Pianificazione!c1:c300")&amp;INDIRECT("Pianificazione!a1:a300"),0)),"hh:mm"),"")="-","Riposo",IFERROR(TEXT(INDEX(INDIRECT("Pianificazione!e1:e300"),MATCH($A20&amp;H$1,INDIRECT("Pianificazione!c1:c300")&amp;INDIRECT("Pianificazione!a1:a300"),0)),"hh:mm"),"")&amp;"-"&amp;IFERROR(TEXT(INDEX(INDIRECT("Pianificazione!f1:f300"),MATCH($A20&amp;H$1,INDIRECT("Pianificazione!c1:c300")&amp;INDIRECT("Pianificazione!a1:a300"),0)),"hh:mm"),""))</f>
        <v>Riposo</v>
      </c>
      <c r="J20" s="4">
        <v>1</v>
      </c>
    </row>
    <row r="21" spans="1:10">
      <c r="A21" t="str">
        <f>+Risorse!B21</f>
        <v>Simona Carotenuto</v>
      </c>
      <c r="B21" s="15" t="str" cm="1">
        <f t="array" aca="1" ref="B21" ca="1">+IF(IFERROR(TEXT(INDEX(INDIRECT("Pianificazione!e1:e300"),MATCH($A21&amp;B$1,INDIRECT("Pianificazione!c1:c300")&amp;INDIRECT("Pianificazione!a1:a300"),0)),"hh:mm"),"")&amp;"-"&amp;IFERROR(TEXT(INDEX(INDIRECT("Pianificazione!f1:f300"),MATCH($A21&amp;B$1,INDIRECT("Pianificazione!c1:c300")&amp;INDIRECT("Pianificazione!a1:a300"),0)),"hh:mm"),"")="-","Riposo",IFERROR(TEXT(INDEX(INDIRECT("Pianificazione!e1:e300"),MATCH($A21&amp;B$1,INDIRECT("Pianificazione!c1:c300")&amp;INDIRECT("Pianificazione!a1:a300"),0)),"hh:mm"),"")&amp;"-"&amp;IFERROR(TEXT(INDEX(INDIRECT("Pianificazione!f1:f300"),MATCH($A21&amp;B$1,INDIRECT("Pianificazione!c1:c300")&amp;INDIRECT("Pianificazione!a1:a300"),0)),"hh:mm"),""))</f>
        <v>Riposo</v>
      </c>
      <c r="C21" s="15" t="str" cm="1">
        <f t="array" aca="1" ref="C21" ca="1">+IF(IFERROR(TEXT(INDEX(INDIRECT("Pianificazione!e1:e300"),MATCH($A21&amp;C$1,INDIRECT("Pianificazione!c1:c300")&amp;INDIRECT("Pianificazione!a1:a300"),0)),"hh:mm"),"")&amp;"-"&amp;IFERROR(TEXT(INDEX(INDIRECT("Pianificazione!f1:f300"),MATCH($A21&amp;C$1,INDIRECT("Pianificazione!c1:c300")&amp;INDIRECT("Pianificazione!a1:a300"),0)),"hh:mm"),"")="-","Riposo",IFERROR(TEXT(INDEX(INDIRECT("Pianificazione!e1:e300"),MATCH($A21&amp;C$1,INDIRECT("Pianificazione!c1:c300")&amp;INDIRECT("Pianificazione!a1:a300"),0)),"hh:mm"),"")&amp;"-"&amp;IFERROR(TEXT(INDEX(INDIRECT("Pianificazione!f1:f300"),MATCH($A21&amp;C$1,INDIRECT("Pianificazione!c1:c300")&amp;INDIRECT("Pianificazione!a1:a300"),0)),"hh:mm"),""))</f>
        <v>Riposo</v>
      </c>
      <c r="D21" s="15" t="str" cm="1">
        <f t="array" aca="1" ref="D21" ca="1">+IF(IFERROR(TEXT(INDEX(INDIRECT("Pianificazione!e1:e300"),MATCH($A21&amp;D$1,INDIRECT("Pianificazione!c1:c300")&amp;INDIRECT("Pianificazione!a1:a300"),0)),"hh:mm"),"")&amp;"-"&amp;IFERROR(TEXT(INDEX(INDIRECT("Pianificazione!f1:f300"),MATCH($A21&amp;D$1,INDIRECT("Pianificazione!c1:c300")&amp;INDIRECT("Pianificazione!a1:a300"),0)),"hh:mm"),"")="-","Riposo",IFERROR(TEXT(INDEX(INDIRECT("Pianificazione!e1:e300"),MATCH($A21&amp;D$1,INDIRECT("Pianificazione!c1:c300")&amp;INDIRECT("Pianificazione!a1:a300"),0)),"hh:mm"),"")&amp;"-"&amp;IFERROR(TEXT(INDEX(INDIRECT("Pianificazione!f1:f300"),MATCH($A21&amp;D$1,INDIRECT("Pianificazione!c1:c300")&amp;INDIRECT("Pianificazione!a1:a300"),0)),"hh:mm"),""))</f>
        <v>Riposo</v>
      </c>
      <c r="E21" s="15" t="str" cm="1">
        <f t="array" aca="1" ref="E21" ca="1">+IF(IFERROR(TEXT(INDEX(INDIRECT("Pianificazione!e1:e300"),MATCH($A21&amp;E$1,INDIRECT("Pianificazione!c1:c300")&amp;INDIRECT("Pianificazione!a1:a300"),0)),"hh:mm"),"")&amp;"-"&amp;IFERROR(TEXT(INDEX(INDIRECT("Pianificazione!f1:f300"),MATCH($A21&amp;E$1,INDIRECT("Pianificazione!c1:c300")&amp;INDIRECT("Pianificazione!a1:a300"),0)),"hh:mm"),"")="-","Riposo",IFERROR(TEXT(INDEX(INDIRECT("Pianificazione!e1:e300"),MATCH($A21&amp;E$1,INDIRECT("Pianificazione!c1:c300")&amp;INDIRECT("Pianificazione!a1:a300"),0)),"hh:mm"),"")&amp;"-"&amp;IFERROR(TEXT(INDEX(INDIRECT("Pianificazione!f1:f300"),MATCH($A21&amp;E$1,INDIRECT("Pianificazione!c1:c300")&amp;INDIRECT("Pianificazione!a1:a300"),0)),"hh:mm"),""))</f>
        <v>Riposo</v>
      </c>
      <c r="F21" s="15" t="str" cm="1">
        <f t="array" aca="1" ref="F21" ca="1">+IF(IFERROR(TEXT(INDEX(INDIRECT("Pianificazione!e1:e300"),MATCH($A21&amp;F$1,INDIRECT("Pianificazione!c1:c300")&amp;INDIRECT("Pianificazione!a1:a300"),0)),"hh:mm"),"")&amp;"-"&amp;IFERROR(TEXT(INDEX(INDIRECT("Pianificazione!f1:f300"),MATCH($A21&amp;F$1,INDIRECT("Pianificazione!c1:c300")&amp;INDIRECT("Pianificazione!a1:a300"),0)),"hh:mm"),"")="-","Riposo",IFERROR(TEXT(INDEX(INDIRECT("Pianificazione!e1:e300"),MATCH($A21&amp;F$1,INDIRECT("Pianificazione!c1:c300")&amp;INDIRECT("Pianificazione!a1:a300"),0)),"hh:mm"),"")&amp;"-"&amp;IFERROR(TEXT(INDEX(INDIRECT("Pianificazione!f1:f300"),MATCH($A21&amp;F$1,INDIRECT("Pianificazione!c1:c300")&amp;INDIRECT("Pianificazione!a1:a300"),0)),"hh:mm"),""))</f>
        <v>Riposo</v>
      </c>
      <c r="G21" s="15" t="str" cm="1">
        <f t="array" aca="1" ref="G21" ca="1">+IF(IFERROR(TEXT(INDEX(INDIRECT("Pianificazione!e1:e300"),MATCH($A21&amp;G$1,INDIRECT("Pianificazione!c1:c300")&amp;INDIRECT("Pianificazione!a1:a300"),0)),"hh:mm"),"")&amp;"-"&amp;IFERROR(TEXT(INDEX(INDIRECT("Pianificazione!f1:f300"),MATCH($A21&amp;G$1,INDIRECT("Pianificazione!c1:c300")&amp;INDIRECT("Pianificazione!a1:a300"),0)),"hh:mm"),"")="-","Riposo",IFERROR(TEXT(INDEX(INDIRECT("Pianificazione!e1:e300"),MATCH($A21&amp;G$1,INDIRECT("Pianificazione!c1:c300")&amp;INDIRECT("Pianificazione!a1:a300"),0)),"hh:mm"),"")&amp;"-"&amp;IFERROR(TEXT(INDEX(INDIRECT("Pianificazione!f1:f300"),MATCH($A21&amp;G$1,INDIRECT("Pianificazione!c1:c300")&amp;INDIRECT("Pianificazione!a1:a300"),0)),"hh:mm"),""))</f>
        <v>Riposo</v>
      </c>
      <c r="H21" s="15" t="str" cm="1">
        <f t="array" aca="1" ref="H21" ca="1">+IF(IFERROR(TEXT(INDEX(INDIRECT("Pianificazione!e1:e300"),MATCH($A21&amp;H$1,INDIRECT("Pianificazione!c1:c300")&amp;INDIRECT("Pianificazione!a1:a300"),0)),"hh:mm"),"")&amp;"-"&amp;IFERROR(TEXT(INDEX(INDIRECT("Pianificazione!f1:f300"),MATCH($A21&amp;H$1,INDIRECT("Pianificazione!c1:c300")&amp;INDIRECT("Pianificazione!a1:a300"),0)),"hh:mm"),"")="-","Riposo",IFERROR(TEXT(INDEX(INDIRECT("Pianificazione!e1:e300"),MATCH($A21&amp;H$1,INDIRECT("Pianificazione!c1:c300")&amp;INDIRECT("Pianificazione!a1:a300"),0)),"hh:mm"),"")&amp;"-"&amp;IFERROR(TEXT(INDEX(INDIRECT("Pianificazione!f1:f300"),MATCH($A21&amp;H$1,INDIRECT("Pianificazione!c1:c300")&amp;INDIRECT("Pianificazione!a1:a300"),0)),"hh:mm"),""))</f>
        <v>Riposo</v>
      </c>
      <c r="J21" s="4">
        <v>1</v>
      </c>
    </row>
    <row r="22" spans="1:10">
      <c r="A22">
        <f>+Risorse!B22</f>
        <v>0</v>
      </c>
      <c r="B22" s="15" t="str" cm="1">
        <f t="array" aca="1" ref="B22" ca="1">+IF(IFERROR(TEXT(INDEX(INDIRECT("Pianificazione!e1:e300"),MATCH($A22&amp;B$1,INDIRECT("Pianificazione!c1:c300")&amp;INDIRECT("Pianificazione!a1:a300"),0)),"hh:mm"),"")&amp;"-"&amp;IFERROR(TEXT(INDEX(INDIRECT("Pianificazione!f1:f300"),MATCH($A22&amp;B$1,INDIRECT("Pianificazione!c1:c300")&amp;INDIRECT("Pianificazione!a1:a300"),0)),"hh:mm"),"")="-","Riposo",IFERROR(TEXT(INDEX(INDIRECT("Pianificazione!e1:e300"),MATCH($A22&amp;B$1,INDIRECT("Pianificazione!c1:c300")&amp;INDIRECT("Pianificazione!a1:a300"),0)),"hh:mm"),"")&amp;"-"&amp;IFERROR(TEXT(INDEX(INDIRECT("Pianificazione!f1:f300"),MATCH($A22&amp;B$1,INDIRECT("Pianificazione!c1:c300")&amp;INDIRECT("Pianificazione!a1:a300"),0)),"hh:mm"),""))</f>
        <v>Riposo</v>
      </c>
      <c r="C22" s="15" t="str" cm="1">
        <f t="array" aca="1" ref="C22" ca="1">+IF(IFERROR(TEXT(INDEX(INDIRECT("Pianificazione!e1:e300"),MATCH($A22&amp;C$1,INDIRECT("Pianificazione!c1:c300")&amp;INDIRECT("Pianificazione!a1:a300"),0)),"hh:mm"),"")&amp;"-"&amp;IFERROR(TEXT(INDEX(INDIRECT("Pianificazione!f1:f300"),MATCH($A22&amp;C$1,INDIRECT("Pianificazione!c1:c300")&amp;INDIRECT("Pianificazione!a1:a300"),0)),"hh:mm"),"")="-","Riposo",IFERROR(TEXT(INDEX(INDIRECT("Pianificazione!e1:e300"),MATCH($A22&amp;C$1,INDIRECT("Pianificazione!c1:c300")&amp;INDIRECT("Pianificazione!a1:a300"),0)),"hh:mm"),"")&amp;"-"&amp;IFERROR(TEXT(INDEX(INDIRECT("Pianificazione!f1:f300"),MATCH($A22&amp;C$1,INDIRECT("Pianificazione!c1:c300")&amp;INDIRECT("Pianificazione!a1:a300"),0)),"hh:mm"),""))</f>
        <v>Riposo</v>
      </c>
      <c r="D22" s="15" t="str" cm="1">
        <f t="array" aca="1" ref="D22" ca="1">+IF(IFERROR(TEXT(INDEX(INDIRECT("Pianificazione!e1:e300"),MATCH($A22&amp;D$1,INDIRECT("Pianificazione!c1:c300")&amp;INDIRECT("Pianificazione!a1:a300"),0)),"hh:mm"),"")&amp;"-"&amp;IFERROR(TEXT(INDEX(INDIRECT("Pianificazione!f1:f300"),MATCH($A22&amp;D$1,INDIRECT("Pianificazione!c1:c300")&amp;INDIRECT("Pianificazione!a1:a300"),0)),"hh:mm"),"")="-","Riposo",IFERROR(TEXT(INDEX(INDIRECT("Pianificazione!e1:e300"),MATCH($A22&amp;D$1,INDIRECT("Pianificazione!c1:c300")&amp;INDIRECT("Pianificazione!a1:a300"),0)),"hh:mm"),"")&amp;"-"&amp;IFERROR(TEXT(INDEX(INDIRECT("Pianificazione!f1:f300"),MATCH($A22&amp;D$1,INDIRECT("Pianificazione!c1:c300")&amp;INDIRECT("Pianificazione!a1:a300"),0)),"hh:mm"),""))</f>
        <v>Riposo</v>
      </c>
      <c r="E22" s="15" t="str" cm="1">
        <f t="array" aca="1" ref="E22" ca="1">+IF(IFERROR(TEXT(INDEX(INDIRECT("Pianificazione!e1:e300"),MATCH($A22&amp;E$1,INDIRECT("Pianificazione!c1:c300")&amp;INDIRECT("Pianificazione!a1:a300"),0)),"hh:mm"),"")&amp;"-"&amp;IFERROR(TEXT(INDEX(INDIRECT("Pianificazione!f1:f300"),MATCH($A22&amp;E$1,INDIRECT("Pianificazione!c1:c300")&amp;INDIRECT("Pianificazione!a1:a300"),0)),"hh:mm"),"")="-","Riposo",IFERROR(TEXT(INDEX(INDIRECT("Pianificazione!e1:e300"),MATCH($A22&amp;E$1,INDIRECT("Pianificazione!c1:c300")&amp;INDIRECT("Pianificazione!a1:a300"),0)),"hh:mm"),"")&amp;"-"&amp;IFERROR(TEXT(INDEX(INDIRECT("Pianificazione!f1:f300"),MATCH($A22&amp;E$1,INDIRECT("Pianificazione!c1:c300")&amp;INDIRECT("Pianificazione!a1:a300"),0)),"hh:mm"),""))</f>
        <v>Riposo</v>
      </c>
      <c r="F22" s="15" t="str" cm="1">
        <f t="array" aca="1" ref="F22" ca="1">+IF(IFERROR(TEXT(INDEX(INDIRECT("Pianificazione!e1:e300"),MATCH($A22&amp;F$1,INDIRECT("Pianificazione!c1:c300")&amp;INDIRECT("Pianificazione!a1:a300"),0)),"hh:mm"),"")&amp;"-"&amp;IFERROR(TEXT(INDEX(INDIRECT("Pianificazione!f1:f300"),MATCH($A22&amp;F$1,INDIRECT("Pianificazione!c1:c300")&amp;INDIRECT("Pianificazione!a1:a300"),0)),"hh:mm"),"")="-","Riposo",IFERROR(TEXT(INDEX(INDIRECT("Pianificazione!e1:e300"),MATCH($A22&amp;F$1,INDIRECT("Pianificazione!c1:c300")&amp;INDIRECT("Pianificazione!a1:a300"),0)),"hh:mm"),"")&amp;"-"&amp;IFERROR(TEXT(INDEX(INDIRECT("Pianificazione!f1:f300"),MATCH($A22&amp;F$1,INDIRECT("Pianificazione!c1:c300")&amp;INDIRECT("Pianificazione!a1:a300"),0)),"hh:mm"),""))</f>
        <v>Riposo</v>
      </c>
      <c r="G22" s="15" t="str" cm="1">
        <f t="array" aca="1" ref="G22" ca="1">+IF(IFERROR(TEXT(INDEX(INDIRECT("Pianificazione!e1:e300"),MATCH($A22&amp;G$1,INDIRECT("Pianificazione!c1:c300")&amp;INDIRECT("Pianificazione!a1:a300"),0)),"hh:mm"),"")&amp;"-"&amp;IFERROR(TEXT(INDEX(INDIRECT("Pianificazione!f1:f300"),MATCH($A22&amp;G$1,INDIRECT("Pianificazione!c1:c300")&amp;INDIRECT("Pianificazione!a1:a300"),0)),"hh:mm"),"")="-","Riposo",IFERROR(TEXT(INDEX(INDIRECT("Pianificazione!e1:e300"),MATCH($A22&amp;G$1,INDIRECT("Pianificazione!c1:c300")&amp;INDIRECT("Pianificazione!a1:a300"),0)),"hh:mm"),"")&amp;"-"&amp;IFERROR(TEXT(INDEX(INDIRECT("Pianificazione!f1:f300"),MATCH($A22&amp;G$1,INDIRECT("Pianificazione!c1:c300")&amp;INDIRECT("Pianificazione!a1:a300"),0)),"hh:mm"),""))</f>
        <v>Riposo</v>
      </c>
      <c r="H22" s="15" t="str" cm="1">
        <f t="array" aca="1" ref="H22" ca="1">+IF(IFERROR(TEXT(INDEX(INDIRECT("Pianificazione!e1:e300"),MATCH($A22&amp;H$1,INDIRECT("Pianificazione!c1:c300")&amp;INDIRECT("Pianificazione!a1:a300"),0)),"hh:mm"),"")&amp;"-"&amp;IFERROR(TEXT(INDEX(INDIRECT("Pianificazione!f1:f300"),MATCH($A22&amp;H$1,INDIRECT("Pianificazione!c1:c300")&amp;INDIRECT("Pianificazione!a1:a300"),0)),"hh:mm"),"")="-","Riposo",IFERROR(TEXT(INDEX(INDIRECT("Pianificazione!e1:e300"),MATCH($A22&amp;H$1,INDIRECT("Pianificazione!c1:c300")&amp;INDIRECT("Pianificazione!a1:a300"),0)),"hh:mm"),"")&amp;"-"&amp;IFERROR(TEXT(INDEX(INDIRECT("Pianificazione!f1:f300"),MATCH($A22&amp;H$1,INDIRECT("Pianificazione!c1:c300")&amp;INDIRECT("Pianificazione!a1:a300"),0)),"hh:mm"),""))</f>
        <v>Riposo</v>
      </c>
      <c r="J22" s="4">
        <v>1</v>
      </c>
    </row>
    <row r="23" spans="1:10">
      <c r="A23">
        <f>+Risorse!B23</f>
        <v>0</v>
      </c>
      <c r="B23" s="15" t="str" cm="1">
        <f t="array" aca="1" ref="B23" ca="1">+IF(IFERROR(TEXT(INDEX(INDIRECT("Pianificazione!e1:e300"),MATCH($A23&amp;B$1,INDIRECT("Pianificazione!c1:c300")&amp;INDIRECT("Pianificazione!a1:a300"),0)),"hh:mm"),"")&amp;"-"&amp;IFERROR(TEXT(INDEX(INDIRECT("Pianificazione!f1:f300"),MATCH($A23&amp;B$1,INDIRECT("Pianificazione!c1:c300")&amp;INDIRECT("Pianificazione!a1:a300"),0)),"hh:mm"),"")="-","Riposo",IFERROR(TEXT(INDEX(INDIRECT("Pianificazione!e1:e300"),MATCH($A23&amp;B$1,INDIRECT("Pianificazione!c1:c300")&amp;INDIRECT("Pianificazione!a1:a300"),0)),"hh:mm"),"")&amp;"-"&amp;IFERROR(TEXT(INDEX(INDIRECT("Pianificazione!f1:f300"),MATCH($A23&amp;B$1,INDIRECT("Pianificazione!c1:c300")&amp;INDIRECT("Pianificazione!a1:a300"),0)),"hh:mm"),""))</f>
        <v>Riposo</v>
      </c>
      <c r="C23" s="15" t="str" cm="1">
        <f t="array" aca="1" ref="C23" ca="1">+IF(IFERROR(TEXT(INDEX(INDIRECT("Pianificazione!e1:e300"),MATCH($A23&amp;C$1,INDIRECT("Pianificazione!c1:c300")&amp;INDIRECT("Pianificazione!a1:a300"),0)),"hh:mm"),"")&amp;"-"&amp;IFERROR(TEXT(INDEX(INDIRECT("Pianificazione!f1:f300"),MATCH($A23&amp;C$1,INDIRECT("Pianificazione!c1:c300")&amp;INDIRECT("Pianificazione!a1:a300"),0)),"hh:mm"),"")="-","Riposo",IFERROR(TEXT(INDEX(INDIRECT("Pianificazione!e1:e300"),MATCH($A23&amp;C$1,INDIRECT("Pianificazione!c1:c300")&amp;INDIRECT("Pianificazione!a1:a300"),0)),"hh:mm"),"")&amp;"-"&amp;IFERROR(TEXT(INDEX(INDIRECT("Pianificazione!f1:f300"),MATCH($A23&amp;C$1,INDIRECT("Pianificazione!c1:c300")&amp;INDIRECT("Pianificazione!a1:a300"),0)),"hh:mm"),""))</f>
        <v>Riposo</v>
      </c>
      <c r="D23" s="15" t="str" cm="1">
        <f t="array" aca="1" ref="D23" ca="1">+IF(IFERROR(TEXT(INDEX(INDIRECT("Pianificazione!e1:e300"),MATCH($A23&amp;D$1,INDIRECT("Pianificazione!c1:c300")&amp;INDIRECT("Pianificazione!a1:a300"),0)),"hh:mm"),"")&amp;"-"&amp;IFERROR(TEXT(INDEX(INDIRECT("Pianificazione!f1:f300"),MATCH($A23&amp;D$1,INDIRECT("Pianificazione!c1:c300")&amp;INDIRECT("Pianificazione!a1:a300"),0)),"hh:mm"),"")="-","Riposo",IFERROR(TEXT(INDEX(INDIRECT("Pianificazione!e1:e300"),MATCH($A23&amp;D$1,INDIRECT("Pianificazione!c1:c300")&amp;INDIRECT("Pianificazione!a1:a300"),0)),"hh:mm"),"")&amp;"-"&amp;IFERROR(TEXT(INDEX(INDIRECT("Pianificazione!f1:f300"),MATCH($A23&amp;D$1,INDIRECT("Pianificazione!c1:c300")&amp;INDIRECT("Pianificazione!a1:a300"),0)),"hh:mm"),""))</f>
        <v>Riposo</v>
      </c>
      <c r="E23" s="15" t="str" cm="1">
        <f t="array" aca="1" ref="E23" ca="1">+IF(IFERROR(TEXT(INDEX(INDIRECT("Pianificazione!e1:e300"),MATCH($A23&amp;E$1,INDIRECT("Pianificazione!c1:c300")&amp;INDIRECT("Pianificazione!a1:a300"),0)),"hh:mm"),"")&amp;"-"&amp;IFERROR(TEXT(INDEX(INDIRECT("Pianificazione!f1:f300"),MATCH($A23&amp;E$1,INDIRECT("Pianificazione!c1:c300")&amp;INDIRECT("Pianificazione!a1:a300"),0)),"hh:mm"),"")="-","Riposo",IFERROR(TEXT(INDEX(INDIRECT("Pianificazione!e1:e300"),MATCH($A23&amp;E$1,INDIRECT("Pianificazione!c1:c300")&amp;INDIRECT("Pianificazione!a1:a300"),0)),"hh:mm"),"")&amp;"-"&amp;IFERROR(TEXT(INDEX(INDIRECT("Pianificazione!f1:f300"),MATCH($A23&amp;E$1,INDIRECT("Pianificazione!c1:c300")&amp;INDIRECT("Pianificazione!a1:a300"),0)),"hh:mm"),""))</f>
        <v>Riposo</v>
      </c>
      <c r="F23" s="15" t="str" cm="1">
        <f t="array" aca="1" ref="F23" ca="1">+IF(IFERROR(TEXT(INDEX(INDIRECT("Pianificazione!e1:e300"),MATCH($A23&amp;F$1,INDIRECT("Pianificazione!c1:c300")&amp;INDIRECT("Pianificazione!a1:a300"),0)),"hh:mm"),"")&amp;"-"&amp;IFERROR(TEXT(INDEX(INDIRECT("Pianificazione!f1:f300"),MATCH($A23&amp;F$1,INDIRECT("Pianificazione!c1:c300")&amp;INDIRECT("Pianificazione!a1:a300"),0)),"hh:mm"),"")="-","Riposo",IFERROR(TEXT(INDEX(INDIRECT("Pianificazione!e1:e300"),MATCH($A23&amp;F$1,INDIRECT("Pianificazione!c1:c300")&amp;INDIRECT("Pianificazione!a1:a300"),0)),"hh:mm"),"")&amp;"-"&amp;IFERROR(TEXT(INDEX(INDIRECT("Pianificazione!f1:f300"),MATCH($A23&amp;F$1,INDIRECT("Pianificazione!c1:c300")&amp;INDIRECT("Pianificazione!a1:a300"),0)),"hh:mm"),""))</f>
        <v>Riposo</v>
      </c>
      <c r="G23" s="15" t="str" cm="1">
        <f t="array" aca="1" ref="G23" ca="1">+IF(IFERROR(TEXT(INDEX(INDIRECT("Pianificazione!e1:e300"),MATCH($A23&amp;G$1,INDIRECT("Pianificazione!c1:c300")&amp;INDIRECT("Pianificazione!a1:a300"),0)),"hh:mm"),"")&amp;"-"&amp;IFERROR(TEXT(INDEX(INDIRECT("Pianificazione!f1:f300"),MATCH($A23&amp;G$1,INDIRECT("Pianificazione!c1:c300")&amp;INDIRECT("Pianificazione!a1:a300"),0)),"hh:mm"),"")="-","Riposo",IFERROR(TEXT(INDEX(INDIRECT("Pianificazione!e1:e300"),MATCH($A23&amp;G$1,INDIRECT("Pianificazione!c1:c300")&amp;INDIRECT("Pianificazione!a1:a300"),0)),"hh:mm"),"")&amp;"-"&amp;IFERROR(TEXT(INDEX(INDIRECT("Pianificazione!f1:f300"),MATCH($A23&amp;G$1,INDIRECT("Pianificazione!c1:c300")&amp;INDIRECT("Pianificazione!a1:a300"),0)),"hh:mm"),""))</f>
        <v>Riposo</v>
      </c>
      <c r="H23" s="15" t="str" cm="1">
        <f t="array" aca="1" ref="H23" ca="1">+IF(IFERROR(TEXT(INDEX(INDIRECT("Pianificazione!e1:e300"),MATCH($A23&amp;H$1,INDIRECT("Pianificazione!c1:c300")&amp;INDIRECT("Pianificazione!a1:a300"),0)),"hh:mm"),"")&amp;"-"&amp;IFERROR(TEXT(INDEX(INDIRECT("Pianificazione!f1:f300"),MATCH($A23&amp;H$1,INDIRECT("Pianificazione!c1:c300")&amp;INDIRECT("Pianificazione!a1:a300"),0)),"hh:mm"),"")="-","Riposo",IFERROR(TEXT(INDEX(INDIRECT("Pianificazione!e1:e300"),MATCH($A23&amp;H$1,INDIRECT("Pianificazione!c1:c300")&amp;INDIRECT("Pianificazione!a1:a300"),0)),"hh:mm"),"")&amp;"-"&amp;IFERROR(TEXT(INDEX(INDIRECT("Pianificazione!f1:f300"),MATCH($A23&amp;H$1,INDIRECT("Pianificazione!c1:c300")&amp;INDIRECT("Pianificazione!a1:a300"),0)),"hh:mm"),""))</f>
        <v>Riposo</v>
      </c>
      <c r="J23" s="4">
        <v>1</v>
      </c>
    </row>
    <row r="24" spans="1:10">
      <c r="A24">
        <f>+Risorse!B24</f>
        <v>0</v>
      </c>
      <c r="B24" s="15" t="str" cm="1">
        <f t="array" aca="1" ref="B24" ca="1">+IF(IFERROR(TEXT(INDEX(INDIRECT("Pianificazione!e1:e300"),MATCH($A24&amp;B$1,INDIRECT("Pianificazione!c1:c300")&amp;INDIRECT("Pianificazione!a1:a300"),0)),"hh:mm"),"")&amp;"-"&amp;IFERROR(TEXT(INDEX(INDIRECT("Pianificazione!f1:f300"),MATCH($A24&amp;B$1,INDIRECT("Pianificazione!c1:c300")&amp;INDIRECT("Pianificazione!a1:a300"),0)),"hh:mm"),"")="-","Riposo",IFERROR(TEXT(INDEX(INDIRECT("Pianificazione!e1:e300"),MATCH($A24&amp;B$1,INDIRECT("Pianificazione!c1:c300")&amp;INDIRECT("Pianificazione!a1:a300"),0)),"hh:mm"),"")&amp;"-"&amp;IFERROR(TEXT(INDEX(INDIRECT("Pianificazione!f1:f300"),MATCH($A24&amp;B$1,INDIRECT("Pianificazione!c1:c300")&amp;INDIRECT("Pianificazione!a1:a300"),0)),"hh:mm"),""))</f>
        <v>Riposo</v>
      </c>
      <c r="C24" s="15" t="str" cm="1">
        <f t="array" aca="1" ref="C24" ca="1">+IF(IFERROR(TEXT(INDEX(INDIRECT("Pianificazione!e1:e300"),MATCH($A24&amp;C$1,INDIRECT("Pianificazione!c1:c300")&amp;INDIRECT("Pianificazione!a1:a300"),0)),"hh:mm"),"")&amp;"-"&amp;IFERROR(TEXT(INDEX(INDIRECT("Pianificazione!f1:f300"),MATCH($A24&amp;C$1,INDIRECT("Pianificazione!c1:c300")&amp;INDIRECT("Pianificazione!a1:a300"),0)),"hh:mm"),"")="-","Riposo",IFERROR(TEXT(INDEX(INDIRECT("Pianificazione!e1:e300"),MATCH($A24&amp;C$1,INDIRECT("Pianificazione!c1:c300")&amp;INDIRECT("Pianificazione!a1:a300"),0)),"hh:mm"),"")&amp;"-"&amp;IFERROR(TEXT(INDEX(INDIRECT("Pianificazione!f1:f300"),MATCH($A24&amp;C$1,INDIRECT("Pianificazione!c1:c300")&amp;INDIRECT("Pianificazione!a1:a300"),0)),"hh:mm"),""))</f>
        <v>Riposo</v>
      </c>
      <c r="D24" s="15" t="str" cm="1">
        <f t="array" aca="1" ref="D24" ca="1">+IF(IFERROR(TEXT(INDEX(INDIRECT("Pianificazione!e1:e300"),MATCH($A24&amp;D$1,INDIRECT("Pianificazione!c1:c300")&amp;INDIRECT("Pianificazione!a1:a300"),0)),"hh:mm"),"")&amp;"-"&amp;IFERROR(TEXT(INDEX(INDIRECT("Pianificazione!f1:f300"),MATCH($A24&amp;D$1,INDIRECT("Pianificazione!c1:c300")&amp;INDIRECT("Pianificazione!a1:a300"),0)),"hh:mm"),"")="-","Riposo",IFERROR(TEXT(INDEX(INDIRECT("Pianificazione!e1:e300"),MATCH($A24&amp;D$1,INDIRECT("Pianificazione!c1:c300")&amp;INDIRECT("Pianificazione!a1:a300"),0)),"hh:mm"),"")&amp;"-"&amp;IFERROR(TEXT(INDEX(INDIRECT("Pianificazione!f1:f300"),MATCH($A24&amp;D$1,INDIRECT("Pianificazione!c1:c300")&amp;INDIRECT("Pianificazione!a1:a300"),0)),"hh:mm"),""))</f>
        <v>Riposo</v>
      </c>
      <c r="E24" s="15" t="str" cm="1">
        <f t="array" aca="1" ref="E24" ca="1">+IF(IFERROR(TEXT(INDEX(INDIRECT("Pianificazione!e1:e300"),MATCH($A24&amp;E$1,INDIRECT("Pianificazione!c1:c300")&amp;INDIRECT("Pianificazione!a1:a300"),0)),"hh:mm"),"")&amp;"-"&amp;IFERROR(TEXT(INDEX(INDIRECT("Pianificazione!f1:f300"),MATCH($A24&amp;E$1,INDIRECT("Pianificazione!c1:c300")&amp;INDIRECT("Pianificazione!a1:a300"),0)),"hh:mm"),"")="-","Riposo",IFERROR(TEXT(INDEX(INDIRECT("Pianificazione!e1:e300"),MATCH($A24&amp;E$1,INDIRECT("Pianificazione!c1:c300")&amp;INDIRECT("Pianificazione!a1:a300"),0)),"hh:mm"),"")&amp;"-"&amp;IFERROR(TEXT(INDEX(INDIRECT("Pianificazione!f1:f300"),MATCH($A24&amp;E$1,INDIRECT("Pianificazione!c1:c300")&amp;INDIRECT("Pianificazione!a1:a300"),0)),"hh:mm"),""))</f>
        <v>Riposo</v>
      </c>
      <c r="F24" s="15" t="str" cm="1">
        <f t="array" aca="1" ref="F24" ca="1">+IF(IFERROR(TEXT(INDEX(INDIRECT("Pianificazione!e1:e300"),MATCH($A24&amp;F$1,INDIRECT("Pianificazione!c1:c300")&amp;INDIRECT("Pianificazione!a1:a300"),0)),"hh:mm"),"")&amp;"-"&amp;IFERROR(TEXT(INDEX(INDIRECT("Pianificazione!f1:f300"),MATCH($A24&amp;F$1,INDIRECT("Pianificazione!c1:c300")&amp;INDIRECT("Pianificazione!a1:a300"),0)),"hh:mm"),"")="-","Riposo",IFERROR(TEXT(INDEX(INDIRECT("Pianificazione!e1:e300"),MATCH($A24&amp;F$1,INDIRECT("Pianificazione!c1:c300")&amp;INDIRECT("Pianificazione!a1:a300"),0)),"hh:mm"),"")&amp;"-"&amp;IFERROR(TEXT(INDEX(INDIRECT("Pianificazione!f1:f300"),MATCH($A24&amp;F$1,INDIRECT("Pianificazione!c1:c300")&amp;INDIRECT("Pianificazione!a1:a300"),0)),"hh:mm"),""))</f>
        <v>Riposo</v>
      </c>
      <c r="G24" s="15" t="str" cm="1">
        <f t="array" aca="1" ref="G24" ca="1">+IF(IFERROR(TEXT(INDEX(INDIRECT("Pianificazione!e1:e300"),MATCH($A24&amp;G$1,INDIRECT("Pianificazione!c1:c300")&amp;INDIRECT("Pianificazione!a1:a300"),0)),"hh:mm"),"")&amp;"-"&amp;IFERROR(TEXT(INDEX(INDIRECT("Pianificazione!f1:f300"),MATCH($A24&amp;G$1,INDIRECT("Pianificazione!c1:c300")&amp;INDIRECT("Pianificazione!a1:a300"),0)),"hh:mm"),"")="-","Riposo",IFERROR(TEXT(INDEX(INDIRECT("Pianificazione!e1:e300"),MATCH($A24&amp;G$1,INDIRECT("Pianificazione!c1:c300")&amp;INDIRECT("Pianificazione!a1:a300"),0)),"hh:mm"),"")&amp;"-"&amp;IFERROR(TEXT(INDEX(INDIRECT("Pianificazione!f1:f300"),MATCH($A24&amp;G$1,INDIRECT("Pianificazione!c1:c300")&amp;INDIRECT("Pianificazione!a1:a300"),0)),"hh:mm"),""))</f>
        <v>Riposo</v>
      </c>
      <c r="H24" s="15" t="str" cm="1">
        <f t="array" aca="1" ref="H24" ca="1">+IF(IFERROR(TEXT(INDEX(INDIRECT("Pianificazione!e1:e300"),MATCH($A24&amp;H$1,INDIRECT("Pianificazione!c1:c300")&amp;INDIRECT("Pianificazione!a1:a300"),0)),"hh:mm"),"")&amp;"-"&amp;IFERROR(TEXT(INDEX(INDIRECT("Pianificazione!f1:f300"),MATCH($A24&amp;H$1,INDIRECT("Pianificazione!c1:c300")&amp;INDIRECT("Pianificazione!a1:a300"),0)),"hh:mm"),"")="-","Riposo",IFERROR(TEXT(INDEX(INDIRECT("Pianificazione!e1:e300"),MATCH($A24&amp;H$1,INDIRECT("Pianificazione!c1:c300")&amp;INDIRECT("Pianificazione!a1:a300"),0)),"hh:mm"),"")&amp;"-"&amp;IFERROR(TEXT(INDEX(INDIRECT("Pianificazione!f1:f300"),MATCH($A24&amp;H$1,INDIRECT("Pianificazione!c1:c300")&amp;INDIRECT("Pianificazione!a1:a300"),0)),"hh:mm"),""))</f>
        <v>Riposo</v>
      </c>
      <c r="J24" s="4">
        <v>1</v>
      </c>
    </row>
    <row r="25" spans="1:10">
      <c r="A25">
        <f>+Risorse!B25</f>
        <v>0</v>
      </c>
      <c r="B25" s="15" t="str" cm="1">
        <f t="array" aca="1" ref="B25" ca="1">+IF(IFERROR(TEXT(INDEX(INDIRECT("Pianificazione!e1:e300"),MATCH($A25&amp;B$1,INDIRECT("Pianificazione!c1:c300")&amp;INDIRECT("Pianificazione!a1:a300"),0)),"hh:mm"),"")&amp;"-"&amp;IFERROR(TEXT(INDEX(INDIRECT("Pianificazione!f1:f300"),MATCH($A25&amp;B$1,INDIRECT("Pianificazione!c1:c300")&amp;INDIRECT("Pianificazione!a1:a300"),0)),"hh:mm"),"")="-","Riposo",IFERROR(TEXT(INDEX(INDIRECT("Pianificazione!e1:e300"),MATCH($A25&amp;B$1,INDIRECT("Pianificazione!c1:c300")&amp;INDIRECT("Pianificazione!a1:a300"),0)),"hh:mm"),"")&amp;"-"&amp;IFERROR(TEXT(INDEX(INDIRECT("Pianificazione!f1:f300"),MATCH($A25&amp;B$1,INDIRECT("Pianificazione!c1:c300")&amp;INDIRECT("Pianificazione!a1:a300"),0)),"hh:mm"),""))</f>
        <v>Riposo</v>
      </c>
      <c r="C25" s="15" t="str" cm="1">
        <f t="array" aca="1" ref="C25" ca="1">+IF(IFERROR(TEXT(INDEX(INDIRECT("Pianificazione!e1:e300"),MATCH($A25&amp;C$1,INDIRECT("Pianificazione!c1:c300")&amp;INDIRECT("Pianificazione!a1:a300"),0)),"hh:mm"),"")&amp;"-"&amp;IFERROR(TEXT(INDEX(INDIRECT("Pianificazione!f1:f300"),MATCH($A25&amp;C$1,INDIRECT("Pianificazione!c1:c300")&amp;INDIRECT("Pianificazione!a1:a300"),0)),"hh:mm"),"")="-","Riposo",IFERROR(TEXT(INDEX(INDIRECT("Pianificazione!e1:e300"),MATCH($A25&amp;C$1,INDIRECT("Pianificazione!c1:c300")&amp;INDIRECT("Pianificazione!a1:a300"),0)),"hh:mm"),"")&amp;"-"&amp;IFERROR(TEXT(INDEX(INDIRECT("Pianificazione!f1:f300"),MATCH($A25&amp;C$1,INDIRECT("Pianificazione!c1:c300")&amp;INDIRECT("Pianificazione!a1:a300"),0)),"hh:mm"),""))</f>
        <v>Riposo</v>
      </c>
      <c r="D25" s="15" t="str" cm="1">
        <f t="array" aca="1" ref="D25" ca="1">+IF(IFERROR(TEXT(INDEX(INDIRECT("Pianificazione!e1:e300"),MATCH($A25&amp;D$1,INDIRECT("Pianificazione!c1:c300")&amp;INDIRECT("Pianificazione!a1:a300"),0)),"hh:mm"),"")&amp;"-"&amp;IFERROR(TEXT(INDEX(INDIRECT("Pianificazione!f1:f300"),MATCH($A25&amp;D$1,INDIRECT("Pianificazione!c1:c300")&amp;INDIRECT("Pianificazione!a1:a300"),0)),"hh:mm"),"")="-","Riposo",IFERROR(TEXT(INDEX(INDIRECT("Pianificazione!e1:e300"),MATCH($A25&amp;D$1,INDIRECT("Pianificazione!c1:c300")&amp;INDIRECT("Pianificazione!a1:a300"),0)),"hh:mm"),"")&amp;"-"&amp;IFERROR(TEXT(INDEX(INDIRECT("Pianificazione!f1:f300"),MATCH($A25&amp;D$1,INDIRECT("Pianificazione!c1:c300")&amp;INDIRECT("Pianificazione!a1:a300"),0)),"hh:mm"),""))</f>
        <v>Riposo</v>
      </c>
      <c r="E25" s="15" t="str" cm="1">
        <f t="array" aca="1" ref="E25" ca="1">+IF(IFERROR(TEXT(INDEX(INDIRECT("Pianificazione!e1:e300"),MATCH($A25&amp;E$1,INDIRECT("Pianificazione!c1:c300")&amp;INDIRECT("Pianificazione!a1:a300"),0)),"hh:mm"),"")&amp;"-"&amp;IFERROR(TEXT(INDEX(INDIRECT("Pianificazione!f1:f300"),MATCH($A25&amp;E$1,INDIRECT("Pianificazione!c1:c300")&amp;INDIRECT("Pianificazione!a1:a300"),0)),"hh:mm"),"")="-","Riposo",IFERROR(TEXT(INDEX(INDIRECT("Pianificazione!e1:e300"),MATCH($A25&amp;E$1,INDIRECT("Pianificazione!c1:c300")&amp;INDIRECT("Pianificazione!a1:a300"),0)),"hh:mm"),"")&amp;"-"&amp;IFERROR(TEXT(INDEX(INDIRECT("Pianificazione!f1:f300"),MATCH($A25&amp;E$1,INDIRECT("Pianificazione!c1:c300")&amp;INDIRECT("Pianificazione!a1:a300"),0)),"hh:mm"),""))</f>
        <v>Riposo</v>
      </c>
      <c r="F25" s="15" t="str" cm="1">
        <f t="array" aca="1" ref="F25" ca="1">+IF(IFERROR(TEXT(INDEX(INDIRECT("Pianificazione!e1:e300"),MATCH($A25&amp;F$1,INDIRECT("Pianificazione!c1:c300")&amp;INDIRECT("Pianificazione!a1:a300"),0)),"hh:mm"),"")&amp;"-"&amp;IFERROR(TEXT(INDEX(INDIRECT("Pianificazione!f1:f300"),MATCH($A25&amp;F$1,INDIRECT("Pianificazione!c1:c300")&amp;INDIRECT("Pianificazione!a1:a300"),0)),"hh:mm"),"")="-","Riposo",IFERROR(TEXT(INDEX(INDIRECT("Pianificazione!e1:e300"),MATCH($A25&amp;F$1,INDIRECT("Pianificazione!c1:c300")&amp;INDIRECT("Pianificazione!a1:a300"),0)),"hh:mm"),"")&amp;"-"&amp;IFERROR(TEXT(INDEX(INDIRECT("Pianificazione!f1:f300"),MATCH($A25&amp;F$1,INDIRECT("Pianificazione!c1:c300")&amp;INDIRECT("Pianificazione!a1:a300"),0)),"hh:mm"),""))</f>
        <v>Riposo</v>
      </c>
      <c r="G25" s="15" t="str" cm="1">
        <f t="array" aca="1" ref="G25" ca="1">+IF(IFERROR(TEXT(INDEX(INDIRECT("Pianificazione!e1:e300"),MATCH($A25&amp;G$1,INDIRECT("Pianificazione!c1:c300")&amp;INDIRECT("Pianificazione!a1:a300"),0)),"hh:mm"),"")&amp;"-"&amp;IFERROR(TEXT(INDEX(INDIRECT("Pianificazione!f1:f300"),MATCH($A25&amp;G$1,INDIRECT("Pianificazione!c1:c300")&amp;INDIRECT("Pianificazione!a1:a300"),0)),"hh:mm"),"")="-","Riposo",IFERROR(TEXT(INDEX(INDIRECT("Pianificazione!e1:e300"),MATCH($A25&amp;G$1,INDIRECT("Pianificazione!c1:c300")&amp;INDIRECT("Pianificazione!a1:a300"),0)),"hh:mm"),"")&amp;"-"&amp;IFERROR(TEXT(INDEX(INDIRECT("Pianificazione!f1:f300"),MATCH($A25&amp;G$1,INDIRECT("Pianificazione!c1:c300")&amp;INDIRECT("Pianificazione!a1:a300"),0)),"hh:mm"),""))</f>
        <v>Riposo</v>
      </c>
      <c r="H25" s="15" t="str" cm="1">
        <f t="array" aca="1" ref="H25" ca="1">+IF(IFERROR(TEXT(INDEX(INDIRECT("Pianificazione!e1:e300"),MATCH($A25&amp;H$1,INDIRECT("Pianificazione!c1:c300")&amp;INDIRECT("Pianificazione!a1:a300"),0)),"hh:mm"),"")&amp;"-"&amp;IFERROR(TEXT(INDEX(INDIRECT("Pianificazione!f1:f300"),MATCH($A25&amp;H$1,INDIRECT("Pianificazione!c1:c300")&amp;INDIRECT("Pianificazione!a1:a300"),0)),"hh:mm"),"")="-","Riposo",IFERROR(TEXT(INDEX(INDIRECT("Pianificazione!e1:e300"),MATCH($A25&amp;H$1,INDIRECT("Pianificazione!c1:c300")&amp;INDIRECT("Pianificazione!a1:a300"),0)),"hh:mm"),"")&amp;"-"&amp;IFERROR(TEXT(INDEX(INDIRECT("Pianificazione!f1:f300"),MATCH($A25&amp;H$1,INDIRECT("Pianificazione!c1:c300")&amp;INDIRECT("Pianificazione!a1:a300"),0)),"hh:mm"),""))</f>
        <v>Riposo</v>
      </c>
      <c r="J25" s="4">
        <v>1</v>
      </c>
    </row>
    <row r="26" spans="1:10">
      <c r="A26" t="e">
        <f>+Risorse!#REF!</f>
        <v>#REF!</v>
      </c>
      <c r="B26" s="15" t="str" cm="1">
        <f t="array" aca="1" ref="B26" ca="1">+IF(IFERROR(TEXT(INDEX(INDIRECT("Pianificazione!e1:e300"),MATCH($A26&amp;B$1,INDIRECT("Pianificazione!c1:c300")&amp;INDIRECT("Pianificazione!a1:a300"),0)),"hh:mm"),"")&amp;"-"&amp;IFERROR(TEXT(INDEX(INDIRECT("Pianificazione!f1:f300"),MATCH($A26&amp;B$1,INDIRECT("Pianificazione!c1:c300")&amp;INDIRECT("Pianificazione!a1:a300"),0)),"hh:mm"),"")="-","Riposo",IFERROR(TEXT(INDEX(INDIRECT("Pianificazione!e1:e300"),MATCH($A26&amp;B$1,INDIRECT("Pianificazione!c1:c300")&amp;INDIRECT("Pianificazione!a1:a300"),0)),"hh:mm"),"")&amp;"-"&amp;IFERROR(TEXT(INDEX(INDIRECT("Pianificazione!f1:f300"),MATCH($A26&amp;B$1,INDIRECT("Pianificazione!c1:c300")&amp;INDIRECT("Pianificazione!a1:a300"),0)),"hh:mm"),""))</f>
        <v>Riposo</v>
      </c>
      <c r="C26" s="15" t="str" cm="1">
        <f t="array" aca="1" ref="C26" ca="1">+IF(IFERROR(TEXT(INDEX(INDIRECT("Pianificazione!e1:e300"),MATCH($A26&amp;C$1,INDIRECT("Pianificazione!c1:c300")&amp;INDIRECT("Pianificazione!a1:a300"),0)),"hh:mm"),"")&amp;"-"&amp;IFERROR(TEXT(INDEX(INDIRECT("Pianificazione!f1:f300"),MATCH($A26&amp;C$1,INDIRECT("Pianificazione!c1:c300")&amp;INDIRECT("Pianificazione!a1:a300"),0)),"hh:mm"),"")="-","Riposo",IFERROR(TEXT(INDEX(INDIRECT("Pianificazione!e1:e300"),MATCH($A26&amp;C$1,INDIRECT("Pianificazione!c1:c300")&amp;INDIRECT("Pianificazione!a1:a300"),0)),"hh:mm"),"")&amp;"-"&amp;IFERROR(TEXT(INDEX(INDIRECT("Pianificazione!f1:f300"),MATCH($A26&amp;C$1,INDIRECT("Pianificazione!c1:c300")&amp;INDIRECT("Pianificazione!a1:a300"),0)),"hh:mm"),""))</f>
        <v>Riposo</v>
      </c>
      <c r="D26" s="15" t="str" cm="1">
        <f t="array" aca="1" ref="D26" ca="1">+IF(IFERROR(TEXT(INDEX(INDIRECT("Pianificazione!e1:e300"),MATCH($A26&amp;D$1,INDIRECT("Pianificazione!c1:c300")&amp;INDIRECT("Pianificazione!a1:a300"),0)),"hh:mm"),"")&amp;"-"&amp;IFERROR(TEXT(INDEX(INDIRECT("Pianificazione!f1:f300"),MATCH($A26&amp;D$1,INDIRECT("Pianificazione!c1:c300")&amp;INDIRECT("Pianificazione!a1:a300"),0)),"hh:mm"),"")="-","Riposo",IFERROR(TEXT(INDEX(INDIRECT("Pianificazione!e1:e300"),MATCH($A26&amp;D$1,INDIRECT("Pianificazione!c1:c300")&amp;INDIRECT("Pianificazione!a1:a300"),0)),"hh:mm"),"")&amp;"-"&amp;IFERROR(TEXT(INDEX(INDIRECT("Pianificazione!f1:f300"),MATCH($A26&amp;D$1,INDIRECT("Pianificazione!c1:c300")&amp;INDIRECT("Pianificazione!a1:a300"),0)),"hh:mm"),""))</f>
        <v>Riposo</v>
      </c>
      <c r="E26" s="15" t="str" cm="1">
        <f t="array" aca="1" ref="E26" ca="1">+IF(IFERROR(TEXT(INDEX(INDIRECT("Pianificazione!e1:e300"),MATCH($A26&amp;E$1,INDIRECT("Pianificazione!c1:c300")&amp;INDIRECT("Pianificazione!a1:a300"),0)),"hh:mm"),"")&amp;"-"&amp;IFERROR(TEXT(INDEX(INDIRECT("Pianificazione!f1:f300"),MATCH($A26&amp;E$1,INDIRECT("Pianificazione!c1:c300")&amp;INDIRECT("Pianificazione!a1:a300"),0)),"hh:mm"),"")="-","Riposo",IFERROR(TEXT(INDEX(INDIRECT("Pianificazione!e1:e300"),MATCH($A26&amp;E$1,INDIRECT("Pianificazione!c1:c300")&amp;INDIRECT("Pianificazione!a1:a300"),0)),"hh:mm"),"")&amp;"-"&amp;IFERROR(TEXT(INDEX(INDIRECT("Pianificazione!f1:f300"),MATCH($A26&amp;E$1,INDIRECT("Pianificazione!c1:c300")&amp;INDIRECT("Pianificazione!a1:a300"),0)),"hh:mm"),""))</f>
        <v>Riposo</v>
      </c>
      <c r="F26" s="15" t="str" cm="1">
        <f t="array" aca="1" ref="F26" ca="1">+IF(IFERROR(TEXT(INDEX(INDIRECT("Pianificazione!e1:e300"),MATCH($A26&amp;F$1,INDIRECT("Pianificazione!c1:c300")&amp;INDIRECT("Pianificazione!a1:a300"),0)),"hh:mm"),"")&amp;"-"&amp;IFERROR(TEXT(INDEX(INDIRECT("Pianificazione!f1:f300"),MATCH($A26&amp;F$1,INDIRECT("Pianificazione!c1:c300")&amp;INDIRECT("Pianificazione!a1:a300"),0)),"hh:mm"),"")="-","Riposo",IFERROR(TEXT(INDEX(INDIRECT("Pianificazione!e1:e300"),MATCH($A26&amp;F$1,INDIRECT("Pianificazione!c1:c300")&amp;INDIRECT("Pianificazione!a1:a300"),0)),"hh:mm"),"")&amp;"-"&amp;IFERROR(TEXT(INDEX(INDIRECT("Pianificazione!f1:f300"),MATCH($A26&amp;F$1,INDIRECT("Pianificazione!c1:c300")&amp;INDIRECT("Pianificazione!a1:a300"),0)),"hh:mm"),""))</f>
        <v>Riposo</v>
      </c>
      <c r="G26" s="15" t="str" cm="1">
        <f t="array" aca="1" ref="G26" ca="1">+IF(IFERROR(TEXT(INDEX(INDIRECT("Pianificazione!e1:e300"),MATCH($A26&amp;G$1,INDIRECT("Pianificazione!c1:c300")&amp;INDIRECT("Pianificazione!a1:a300"),0)),"hh:mm"),"")&amp;"-"&amp;IFERROR(TEXT(INDEX(INDIRECT("Pianificazione!f1:f300"),MATCH($A26&amp;G$1,INDIRECT("Pianificazione!c1:c300")&amp;INDIRECT("Pianificazione!a1:a300"),0)),"hh:mm"),"")="-","Riposo",IFERROR(TEXT(INDEX(INDIRECT("Pianificazione!e1:e300"),MATCH($A26&amp;G$1,INDIRECT("Pianificazione!c1:c300")&amp;INDIRECT("Pianificazione!a1:a300"),0)),"hh:mm"),"")&amp;"-"&amp;IFERROR(TEXT(INDEX(INDIRECT("Pianificazione!f1:f300"),MATCH($A26&amp;G$1,INDIRECT("Pianificazione!c1:c300")&amp;INDIRECT("Pianificazione!a1:a300"),0)),"hh:mm"),""))</f>
        <v>Riposo</v>
      </c>
      <c r="H26" s="15" t="str" cm="1">
        <f t="array" aca="1" ref="H26" ca="1">+IF(IFERROR(TEXT(INDEX(INDIRECT("Pianificazione!e1:e300"),MATCH($A26&amp;H$1,INDIRECT("Pianificazione!c1:c300")&amp;INDIRECT("Pianificazione!a1:a300"),0)),"hh:mm"),"")&amp;"-"&amp;IFERROR(TEXT(INDEX(INDIRECT("Pianificazione!f1:f300"),MATCH($A26&amp;H$1,INDIRECT("Pianificazione!c1:c300")&amp;INDIRECT("Pianificazione!a1:a300"),0)),"hh:mm"),"")="-","Riposo",IFERROR(TEXT(INDEX(INDIRECT("Pianificazione!e1:e300"),MATCH($A26&amp;H$1,INDIRECT("Pianificazione!c1:c300")&amp;INDIRECT("Pianificazione!a1:a300"),0)),"hh:mm"),"")&amp;"-"&amp;IFERROR(TEXT(INDEX(INDIRECT("Pianificazione!f1:f300"),MATCH($A26&amp;H$1,INDIRECT("Pianificazione!c1:c300")&amp;INDIRECT("Pianificazione!a1:a300"),0)),"hh:mm"),""))</f>
        <v>Riposo</v>
      </c>
      <c r="J26" s="4">
        <v>1</v>
      </c>
    </row>
    <row r="27" spans="1:10">
      <c r="A27" t="e">
        <f>+Risorse!#REF!</f>
        <v>#REF!</v>
      </c>
      <c r="B27" s="15" t="str" cm="1">
        <f t="array" aca="1" ref="B27" ca="1">+IF(IFERROR(TEXT(INDEX(INDIRECT("Pianificazione!e1:e300"),MATCH($A27&amp;B$1,INDIRECT("Pianificazione!c1:c300")&amp;INDIRECT("Pianificazione!a1:a300"),0)),"hh:mm"),"")&amp;"-"&amp;IFERROR(TEXT(INDEX(INDIRECT("Pianificazione!f1:f300"),MATCH($A27&amp;B$1,INDIRECT("Pianificazione!c1:c300")&amp;INDIRECT("Pianificazione!a1:a300"),0)),"hh:mm"),"")="-","Riposo",IFERROR(TEXT(INDEX(INDIRECT("Pianificazione!e1:e300"),MATCH($A27&amp;B$1,INDIRECT("Pianificazione!c1:c300")&amp;INDIRECT("Pianificazione!a1:a300"),0)),"hh:mm"),"")&amp;"-"&amp;IFERROR(TEXT(INDEX(INDIRECT("Pianificazione!f1:f300"),MATCH($A27&amp;B$1,INDIRECT("Pianificazione!c1:c300")&amp;INDIRECT("Pianificazione!a1:a300"),0)),"hh:mm"),""))</f>
        <v>Riposo</v>
      </c>
      <c r="C27" s="15" t="str" cm="1">
        <f t="array" aca="1" ref="C27" ca="1">+IF(IFERROR(TEXT(INDEX(INDIRECT("Pianificazione!e1:e300"),MATCH($A27&amp;C$1,INDIRECT("Pianificazione!c1:c300")&amp;INDIRECT("Pianificazione!a1:a300"),0)),"hh:mm"),"")&amp;"-"&amp;IFERROR(TEXT(INDEX(INDIRECT("Pianificazione!f1:f300"),MATCH($A27&amp;C$1,INDIRECT("Pianificazione!c1:c300")&amp;INDIRECT("Pianificazione!a1:a300"),0)),"hh:mm"),"")="-","Riposo",IFERROR(TEXT(INDEX(INDIRECT("Pianificazione!e1:e300"),MATCH($A27&amp;C$1,INDIRECT("Pianificazione!c1:c300")&amp;INDIRECT("Pianificazione!a1:a300"),0)),"hh:mm"),"")&amp;"-"&amp;IFERROR(TEXT(INDEX(INDIRECT("Pianificazione!f1:f300"),MATCH($A27&amp;C$1,INDIRECT("Pianificazione!c1:c300")&amp;INDIRECT("Pianificazione!a1:a300"),0)),"hh:mm"),""))</f>
        <v>Riposo</v>
      </c>
      <c r="D27" s="15" t="str" cm="1">
        <f t="array" aca="1" ref="D27" ca="1">+IF(IFERROR(TEXT(INDEX(INDIRECT("Pianificazione!e1:e300"),MATCH($A27&amp;D$1,INDIRECT("Pianificazione!c1:c300")&amp;INDIRECT("Pianificazione!a1:a300"),0)),"hh:mm"),"")&amp;"-"&amp;IFERROR(TEXT(INDEX(INDIRECT("Pianificazione!f1:f300"),MATCH($A27&amp;D$1,INDIRECT("Pianificazione!c1:c300")&amp;INDIRECT("Pianificazione!a1:a300"),0)),"hh:mm"),"")="-","Riposo",IFERROR(TEXT(INDEX(INDIRECT("Pianificazione!e1:e300"),MATCH($A27&amp;D$1,INDIRECT("Pianificazione!c1:c300")&amp;INDIRECT("Pianificazione!a1:a300"),0)),"hh:mm"),"")&amp;"-"&amp;IFERROR(TEXT(INDEX(INDIRECT("Pianificazione!f1:f300"),MATCH($A27&amp;D$1,INDIRECT("Pianificazione!c1:c300")&amp;INDIRECT("Pianificazione!a1:a300"),0)),"hh:mm"),""))</f>
        <v>Riposo</v>
      </c>
      <c r="E27" s="15" t="str" cm="1">
        <f t="array" aca="1" ref="E27" ca="1">+IF(IFERROR(TEXT(INDEX(INDIRECT("Pianificazione!e1:e300"),MATCH($A27&amp;E$1,INDIRECT("Pianificazione!c1:c300")&amp;INDIRECT("Pianificazione!a1:a300"),0)),"hh:mm"),"")&amp;"-"&amp;IFERROR(TEXT(INDEX(INDIRECT("Pianificazione!f1:f300"),MATCH($A27&amp;E$1,INDIRECT("Pianificazione!c1:c300")&amp;INDIRECT("Pianificazione!a1:a300"),0)),"hh:mm"),"")="-","Riposo",IFERROR(TEXT(INDEX(INDIRECT("Pianificazione!e1:e300"),MATCH($A27&amp;E$1,INDIRECT("Pianificazione!c1:c300")&amp;INDIRECT("Pianificazione!a1:a300"),0)),"hh:mm"),"")&amp;"-"&amp;IFERROR(TEXT(INDEX(INDIRECT("Pianificazione!f1:f300"),MATCH($A27&amp;E$1,INDIRECT("Pianificazione!c1:c300")&amp;INDIRECT("Pianificazione!a1:a300"),0)),"hh:mm"),""))</f>
        <v>Riposo</v>
      </c>
      <c r="F27" s="15" t="str" cm="1">
        <f t="array" aca="1" ref="F27" ca="1">+IF(IFERROR(TEXT(INDEX(INDIRECT("Pianificazione!e1:e300"),MATCH($A27&amp;F$1,INDIRECT("Pianificazione!c1:c300")&amp;INDIRECT("Pianificazione!a1:a300"),0)),"hh:mm"),"")&amp;"-"&amp;IFERROR(TEXT(INDEX(INDIRECT("Pianificazione!f1:f300"),MATCH($A27&amp;F$1,INDIRECT("Pianificazione!c1:c300")&amp;INDIRECT("Pianificazione!a1:a300"),0)),"hh:mm"),"")="-","Riposo",IFERROR(TEXT(INDEX(INDIRECT("Pianificazione!e1:e300"),MATCH($A27&amp;F$1,INDIRECT("Pianificazione!c1:c300")&amp;INDIRECT("Pianificazione!a1:a300"),0)),"hh:mm"),"")&amp;"-"&amp;IFERROR(TEXT(INDEX(INDIRECT("Pianificazione!f1:f300"),MATCH($A27&amp;F$1,INDIRECT("Pianificazione!c1:c300")&amp;INDIRECT("Pianificazione!a1:a300"),0)),"hh:mm"),""))</f>
        <v>Riposo</v>
      </c>
      <c r="G27" s="15" t="str" cm="1">
        <f t="array" aca="1" ref="G27" ca="1">+IF(IFERROR(TEXT(INDEX(INDIRECT("Pianificazione!e1:e300"),MATCH($A27&amp;G$1,INDIRECT("Pianificazione!c1:c300")&amp;INDIRECT("Pianificazione!a1:a300"),0)),"hh:mm"),"")&amp;"-"&amp;IFERROR(TEXT(INDEX(INDIRECT("Pianificazione!f1:f300"),MATCH($A27&amp;G$1,INDIRECT("Pianificazione!c1:c300")&amp;INDIRECT("Pianificazione!a1:a300"),0)),"hh:mm"),"")="-","Riposo",IFERROR(TEXT(INDEX(INDIRECT("Pianificazione!e1:e300"),MATCH($A27&amp;G$1,INDIRECT("Pianificazione!c1:c300")&amp;INDIRECT("Pianificazione!a1:a300"),0)),"hh:mm"),"")&amp;"-"&amp;IFERROR(TEXT(INDEX(INDIRECT("Pianificazione!f1:f300"),MATCH($A27&amp;G$1,INDIRECT("Pianificazione!c1:c300")&amp;INDIRECT("Pianificazione!a1:a300"),0)),"hh:mm"),""))</f>
        <v>Riposo</v>
      </c>
      <c r="H27" s="15" t="str" cm="1">
        <f t="array" aca="1" ref="H27" ca="1">+IF(IFERROR(TEXT(INDEX(INDIRECT("Pianificazione!e1:e300"),MATCH($A27&amp;H$1,INDIRECT("Pianificazione!c1:c300")&amp;INDIRECT("Pianificazione!a1:a300"),0)),"hh:mm"),"")&amp;"-"&amp;IFERROR(TEXT(INDEX(INDIRECT("Pianificazione!f1:f300"),MATCH($A27&amp;H$1,INDIRECT("Pianificazione!c1:c300")&amp;INDIRECT("Pianificazione!a1:a300"),0)),"hh:mm"),"")="-","Riposo",IFERROR(TEXT(INDEX(INDIRECT("Pianificazione!e1:e300"),MATCH($A27&amp;H$1,INDIRECT("Pianificazione!c1:c300")&amp;INDIRECT("Pianificazione!a1:a300"),0)),"hh:mm"),"")&amp;"-"&amp;IFERROR(TEXT(INDEX(INDIRECT("Pianificazione!f1:f300"),MATCH($A27&amp;H$1,INDIRECT("Pianificazione!c1:c300")&amp;INDIRECT("Pianificazione!a1:a300"),0)),"hh:mm"),""))</f>
        <v>Riposo</v>
      </c>
      <c r="J27" s="4">
        <v>1</v>
      </c>
    </row>
    <row r="28" spans="1:10">
      <c r="A28" t="e">
        <f>+Risorse!#REF!</f>
        <v>#REF!</v>
      </c>
      <c r="B28" s="15" t="str" cm="1">
        <f t="array" aca="1" ref="B28" ca="1">+IF(IFERROR(TEXT(INDEX(INDIRECT("Pianificazione!e1:e300"),MATCH($A28&amp;B$1,INDIRECT("Pianificazione!c1:c300")&amp;INDIRECT("Pianificazione!a1:a300"),0)),"hh:mm"),"")&amp;"-"&amp;IFERROR(TEXT(INDEX(INDIRECT("Pianificazione!f1:f300"),MATCH($A28&amp;B$1,INDIRECT("Pianificazione!c1:c300")&amp;INDIRECT("Pianificazione!a1:a300"),0)),"hh:mm"),"")="-","Riposo",IFERROR(TEXT(INDEX(INDIRECT("Pianificazione!e1:e300"),MATCH($A28&amp;B$1,INDIRECT("Pianificazione!c1:c300")&amp;INDIRECT("Pianificazione!a1:a300"),0)),"hh:mm"),"")&amp;"-"&amp;IFERROR(TEXT(INDEX(INDIRECT("Pianificazione!f1:f300"),MATCH($A28&amp;B$1,INDIRECT("Pianificazione!c1:c300")&amp;INDIRECT("Pianificazione!a1:a300"),0)),"hh:mm"),""))</f>
        <v>Riposo</v>
      </c>
      <c r="C28" s="15" t="str" cm="1">
        <f t="array" aca="1" ref="C28" ca="1">+IF(IFERROR(TEXT(INDEX(INDIRECT("Pianificazione!e1:e300"),MATCH($A28&amp;C$1,INDIRECT("Pianificazione!c1:c300")&amp;INDIRECT("Pianificazione!a1:a300"),0)),"hh:mm"),"")&amp;"-"&amp;IFERROR(TEXT(INDEX(INDIRECT("Pianificazione!f1:f300"),MATCH($A28&amp;C$1,INDIRECT("Pianificazione!c1:c300")&amp;INDIRECT("Pianificazione!a1:a300"),0)),"hh:mm"),"")="-","Riposo",IFERROR(TEXT(INDEX(INDIRECT("Pianificazione!e1:e300"),MATCH($A28&amp;C$1,INDIRECT("Pianificazione!c1:c300")&amp;INDIRECT("Pianificazione!a1:a300"),0)),"hh:mm"),"")&amp;"-"&amp;IFERROR(TEXT(INDEX(INDIRECT("Pianificazione!f1:f300"),MATCH($A28&amp;C$1,INDIRECT("Pianificazione!c1:c300")&amp;INDIRECT("Pianificazione!a1:a300"),0)),"hh:mm"),""))</f>
        <v>Riposo</v>
      </c>
      <c r="D28" s="15" t="str" cm="1">
        <f t="array" aca="1" ref="D28" ca="1">+IF(IFERROR(TEXT(INDEX(INDIRECT("Pianificazione!e1:e300"),MATCH($A28&amp;D$1,INDIRECT("Pianificazione!c1:c300")&amp;INDIRECT("Pianificazione!a1:a300"),0)),"hh:mm"),"")&amp;"-"&amp;IFERROR(TEXT(INDEX(INDIRECT("Pianificazione!f1:f300"),MATCH($A28&amp;D$1,INDIRECT("Pianificazione!c1:c300")&amp;INDIRECT("Pianificazione!a1:a300"),0)),"hh:mm"),"")="-","Riposo",IFERROR(TEXT(INDEX(INDIRECT("Pianificazione!e1:e300"),MATCH($A28&amp;D$1,INDIRECT("Pianificazione!c1:c300")&amp;INDIRECT("Pianificazione!a1:a300"),0)),"hh:mm"),"")&amp;"-"&amp;IFERROR(TEXT(INDEX(INDIRECT("Pianificazione!f1:f300"),MATCH($A28&amp;D$1,INDIRECT("Pianificazione!c1:c300")&amp;INDIRECT("Pianificazione!a1:a300"),0)),"hh:mm"),""))</f>
        <v>Riposo</v>
      </c>
      <c r="E28" s="15" t="str" cm="1">
        <f t="array" aca="1" ref="E28" ca="1">+IF(IFERROR(TEXT(INDEX(INDIRECT("Pianificazione!e1:e300"),MATCH($A28&amp;E$1,INDIRECT("Pianificazione!c1:c300")&amp;INDIRECT("Pianificazione!a1:a300"),0)),"hh:mm"),"")&amp;"-"&amp;IFERROR(TEXT(INDEX(INDIRECT("Pianificazione!f1:f300"),MATCH($A28&amp;E$1,INDIRECT("Pianificazione!c1:c300")&amp;INDIRECT("Pianificazione!a1:a300"),0)),"hh:mm"),"")="-","Riposo",IFERROR(TEXT(INDEX(INDIRECT("Pianificazione!e1:e300"),MATCH($A28&amp;E$1,INDIRECT("Pianificazione!c1:c300")&amp;INDIRECT("Pianificazione!a1:a300"),0)),"hh:mm"),"")&amp;"-"&amp;IFERROR(TEXT(INDEX(INDIRECT("Pianificazione!f1:f300"),MATCH($A28&amp;E$1,INDIRECT("Pianificazione!c1:c300")&amp;INDIRECT("Pianificazione!a1:a300"),0)),"hh:mm"),""))</f>
        <v>Riposo</v>
      </c>
      <c r="F28" s="15" t="str" cm="1">
        <f t="array" aca="1" ref="F28" ca="1">+IF(IFERROR(TEXT(INDEX(INDIRECT("Pianificazione!e1:e300"),MATCH($A28&amp;F$1,INDIRECT("Pianificazione!c1:c300")&amp;INDIRECT("Pianificazione!a1:a300"),0)),"hh:mm"),"")&amp;"-"&amp;IFERROR(TEXT(INDEX(INDIRECT("Pianificazione!f1:f300"),MATCH($A28&amp;F$1,INDIRECT("Pianificazione!c1:c300")&amp;INDIRECT("Pianificazione!a1:a300"),0)),"hh:mm"),"")="-","Riposo",IFERROR(TEXT(INDEX(INDIRECT("Pianificazione!e1:e300"),MATCH($A28&amp;F$1,INDIRECT("Pianificazione!c1:c300")&amp;INDIRECT("Pianificazione!a1:a300"),0)),"hh:mm"),"")&amp;"-"&amp;IFERROR(TEXT(INDEX(INDIRECT("Pianificazione!f1:f300"),MATCH($A28&amp;F$1,INDIRECT("Pianificazione!c1:c300")&amp;INDIRECT("Pianificazione!a1:a300"),0)),"hh:mm"),""))</f>
        <v>Riposo</v>
      </c>
      <c r="G28" s="15" t="str" cm="1">
        <f t="array" aca="1" ref="G28" ca="1">+IF(IFERROR(TEXT(INDEX(INDIRECT("Pianificazione!e1:e300"),MATCH($A28&amp;G$1,INDIRECT("Pianificazione!c1:c300")&amp;INDIRECT("Pianificazione!a1:a300"),0)),"hh:mm"),"")&amp;"-"&amp;IFERROR(TEXT(INDEX(INDIRECT("Pianificazione!f1:f300"),MATCH($A28&amp;G$1,INDIRECT("Pianificazione!c1:c300")&amp;INDIRECT("Pianificazione!a1:a300"),0)),"hh:mm"),"")="-","Riposo",IFERROR(TEXT(INDEX(INDIRECT("Pianificazione!e1:e300"),MATCH($A28&amp;G$1,INDIRECT("Pianificazione!c1:c300")&amp;INDIRECT("Pianificazione!a1:a300"),0)),"hh:mm"),"")&amp;"-"&amp;IFERROR(TEXT(INDEX(INDIRECT("Pianificazione!f1:f300"),MATCH($A28&amp;G$1,INDIRECT("Pianificazione!c1:c300")&amp;INDIRECT("Pianificazione!a1:a300"),0)),"hh:mm"),""))</f>
        <v>Riposo</v>
      </c>
      <c r="H28" s="15" t="str" cm="1">
        <f t="array" aca="1" ref="H28" ca="1">+IF(IFERROR(TEXT(INDEX(INDIRECT("Pianificazione!e1:e300"),MATCH($A28&amp;H$1,INDIRECT("Pianificazione!c1:c300")&amp;INDIRECT("Pianificazione!a1:a300"),0)),"hh:mm"),"")&amp;"-"&amp;IFERROR(TEXT(INDEX(INDIRECT("Pianificazione!f1:f300"),MATCH($A28&amp;H$1,INDIRECT("Pianificazione!c1:c300")&amp;INDIRECT("Pianificazione!a1:a300"),0)),"hh:mm"),"")="-","Riposo",IFERROR(TEXT(INDEX(INDIRECT("Pianificazione!e1:e300"),MATCH($A28&amp;H$1,INDIRECT("Pianificazione!c1:c300")&amp;INDIRECT("Pianificazione!a1:a300"),0)),"hh:mm"),"")&amp;"-"&amp;IFERROR(TEXT(INDEX(INDIRECT("Pianificazione!f1:f300"),MATCH($A28&amp;H$1,INDIRECT("Pianificazione!c1:c300")&amp;INDIRECT("Pianificazione!a1:a300"),0)),"hh:mm"),""))</f>
        <v>Riposo</v>
      </c>
      <c r="J28" s="4">
        <v>1</v>
      </c>
    </row>
    <row r="29" spans="1:10">
      <c r="A29" t="e">
        <f>+Risorse!#REF!</f>
        <v>#REF!</v>
      </c>
      <c r="B29" s="15" t="str" cm="1">
        <f t="array" aca="1" ref="B29" ca="1">+IF(IFERROR(TEXT(INDEX(INDIRECT("Pianificazione!e1:e300"),MATCH($A29&amp;B$1,INDIRECT("Pianificazione!c1:c300")&amp;INDIRECT("Pianificazione!a1:a300"),0)),"hh:mm"),"")&amp;"-"&amp;IFERROR(TEXT(INDEX(INDIRECT("Pianificazione!f1:f300"),MATCH($A29&amp;B$1,INDIRECT("Pianificazione!c1:c300")&amp;INDIRECT("Pianificazione!a1:a300"),0)),"hh:mm"),"")="-","Riposo",IFERROR(TEXT(INDEX(INDIRECT("Pianificazione!e1:e300"),MATCH($A29&amp;B$1,INDIRECT("Pianificazione!c1:c300")&amp;INDIRECT("Pianificazione!a1:a300"),0)),"hh:mm"),"")&amp;"-"&amp;IFERROR(TEXT(INDEX(INDIRECT("Pianificazione!f1:f300"),MATCH($A29&amp;B$1,INDIRECT("Pianificazione!c1:c300")&amp;INDIRECT("Pianificazione!a1:a300"),0)),"hh:mm"),""))</f>
        <v>Riposo</v>
      </c>
      <c r="C29" s="15" t="str" cm="1">
        <f t="array" aca="1" ref="C29" ca="1">+IF(IFERROR(TEXT(INDEX(INDIRECT("Pianificazione!e1:e300"),MATCH($A29&amp;C$1,INDIRECT("Pianificazione!c1:c300")&amp;INDIRECT("Pianificazione!a1:a300"),0)),"hh:mm"),"")&amp;"-"&amp;IFERROR(TEXT(INDEX(INDIRECT("Pianificazione!f1:f300"),MATCH($A29&amp;C$1,INDIRECT("Pianificazione!c1:c300")&amp;INDIRECT("Pianificazione!a1:a300"),0)),"hh:mm"),"")="-","Riposo",IFERROR(TEXT(INDEX(INDIRECT("Pianificazione!e1:e300"),MATCH($A29&amp;C$1,INDIRECT("Pianificazione!c1:c300")&amp;INDIRECT("Pianificazione!a1:a300"),0)),"hh:mm"),"")&amp;"-"&amp;IFERROR(TEXT(INDEX(INDIRECT("Pianificazione!f1:f300"),MATCH($A29&amp;C$1,INDIRECT("Pianificazione!c1:c300")&amp;INDIRECT("Pianificazione!a1:a300"),0)),"hh:mm"),""))</f>
        <v>Riposo</v>
      </c>
      <c r="D29" s="15" t="str" cm="1">
        <f t="array" aca="1" ref="D29" ca="1">+IF(IFERROR(TEXT(INDEX(INDIRECT("Pianificazione!e1:e300"),MATCH($A29&amp;D$1,INDIRECT("Pianificazione!c1:c300")&amp;INDIRECT("Pianificazione!a1:a300"),0)),"hh:mm"),"")&amp;"-"&amp;IFERROR(TEXT(INDEX(INDIRECT("Pianificazione!f1:f300"),MATCH($A29&amp;D$1,INDIRECT("Pianificazione!c1:c300")&amp;INDIRECT("Pianificazione!a1:a300"),0)),"hh:mm"),"")="-","Riposo",IFERROR(TEXT(INDEX(INDIRECT("Pianificazione!e1:e300"),MATCH($A29&amp;D$1,INDIRECT("Pianificazione!c1:c300")&amp;INDIRECT("Pianificazione!a1:a300"),0)),"hh:mm"),"")&amp;"-"&amp;IFERROR(TEXT(INDEX(INDIRECT("Pianificazione!f1:f300"),MATCH($A29&amp;D$1,INDIRECT("Pianificazione!c1:c300")&amp;INDIRECT("Pianificazione!a1:a300"),0)),"hh:mm"),""))</f>
        <v>Riposo</v>
      </c>
      <c r="E29" s="15" t="str" cm="1">
        <f t="array" aca="1" ref="E29" ca="1">+IF(IFERROR(TEXT(INDEX(INDIRECT("Pianificazione!e1:e300"),MATCH($A29&amp;E$1,INDIRECT("Pianificazione!c1:c300")&amp;INDIRECT("Pianificazione!a1:a300"),0)),"hh:mm"),"")&amp;"-"&amp;IFERROR(TEXT(INDEX(INDIRECT("Pianificazione!f1:f300"),MATCH($A29&amp;E$1,INDIRECT("Pianificazione!c1:c300")&amp;INDIRECT("Pianificazione!a1:a300"),0)),"hh:mm"),"")="-","Riposo",IFERROR(TEXT(INDEX(INDIRECT("Pianificazione!e1:e300"),MATCH($A29&amp;E$1,INDIRECT("Pianificazione!c1:c300")&amp;INDIRECT("Pianificazione!a1:a300"),0)),"hh:mm"),"")&amp;"-"&amp;IFERROR(TEXT(INDEX(INDIRECT("Pianificazione!f1:f300"),MATCH($A29&amp;E$1,INDIRECT("Pianificazione!c1:c300")&amp;INDIRECT("Pianificazione!a1:a300"),0)),"hh:mm"),""))</f>
        <v>Riposo</v>
      </c>
      <c r="F29" s="15" t="str" cm="1">
        <f t="array" aca="1" ref="F29" ca="1">+IF(IFERROR(TEXT(INDEX(INDIRECT("Pianificazione!e1:e300"),MATCH($A29&amp;F$1,INDIRECT("Pianificazione!c1:c300")&amp;INDIRECT("Pianificazione!a1:a300"),0)),"hh:mm"),"")&amp;"-"&amp;IFERROR(TEXT(INDEX(INDIRECT("Pianificazione!f1:f300"),MATCH($A29&amp;F$1,INDIRECT("Pianificazione!c1:c300")&amp;INDIRECT("Pianificazione!a1:a300"),0)),"hh:mm"),"")="-","Riposo",IFERROR(TEXT(INDEX(INDIRECT("Pianificazione!e1:e300"),MATCH($A29&amp;F$1,INDIRECT("Pianificazione!c1:c300")&amp;INDIRECT("Pianificazione!a1:a300"),0)),"hh:mm"),"")&amp;"-"&amp;IFERROR(TEXT(INDEX(INDIRECT("Pianificazione!f1:f300"),MATCH($A29&amp;F$1,INDIRECT("Pianificazione!c1:c300")&amp;INDIRECT("Pianificazione!a1:a300"),0)),"hh:mm"),""))</f>
        <v>Riposo</v>
      </c>
      <c r="G29" s="15" t="str" cm="1">
        <f t="array" aca="1" ref="G29" ca="1">+IF(IFERROR(TEXT(INDEX(INDIRECT("Pianificazione!e1:e300"),MATCH($A29&amp;G$1,INDIRECT("Pianificazione!c1:c300")&amp;INDIRECT("Pianificazione!a1:a300"),0)),"hh:mm"),"")&amp;"-"&amp;IFERROR(TEXT(INDEX(INDIRECT("Pianificazione!f1:f300"),MATCH($A29&amp;G$1,INDIRECT("Pianificazione!c1:c300")&amp;INDIRECT("Pianificazione!a1:a300"),0)),"hh:mm"),"")="-","Riposo",IFERROR(TEXT(INDEX(INDIRECT("Pianificazione!e1:e300"),MATCH($A29&amp;G$1,INDIRECT("Pianificazione!c1:c300")&amp;INDIRECT("Pianificazione!a1:a300"),0)),"hh:mm"),"")&amp;"-"&amp;IFERROR(TEXT(INDEX(INDIRECT("Pianificazione!f1:f300"),MATCH($A29&amp;G$1,INDIRECT("Pianificazione!c1:c300")&amp;INDIRECT("Pianificazione!a1:a300"),0)),"hh:mm"),""))</f>
        <v>Riposo</v>
      </c>
      <c r="H29" s="15" t="str" cm="1">
        <f t="array" aca="1" ref="H29" ca="1">+IF(IFERROR(TEXT(INDEX(INDIRECT("Pianificazione!e1:e300"),MATCH($A29&amp;H$1,INDIRECT("Pianificazione!c1:c300")&amp;INDIRECT("Pianificazione!a1:a300"),0)),"hh:mm"),"")&amp;"-"&amp;IFERROR(TEXT(INDEX(INDIRECT("Pianificazione!f1:f300"),MATCH($A29&amp;H$1,INDIRECT("Pianificazione!c1:c300")&amp;INDIRECT("Pianificazione!a1:a300"),0)),"hh:mm"),"")="-","Riposo",IFERROR(TEXT(INDEX(INDIRECT("Pianificazione!e1:e300"),MATCH($A29&amp;H$1,INDIRECT("Pianificazione!c1:c300")&amp;INDIRECT("Pianificazione!a1:a300"),0)),"hh:mm"),"")&amp;"-"&amp;IFERROR(TEXT(INDEX(INDIRECT("Pianificazione!f1:f300"),MATCH($A29&amp;H$1,INDIRECT("Pianificazione!c1:c300")&amp;INDIRECT("Pianificazione!a1:a300"),0)),"hh:mm"),""))</f>
        <v>Riposo</v>
      </c>
      <c r="J29" s="4">
        <v>1</v>
      </c>
    </row>
    <row r="30" spans="1:10">
      <c r="B30" s="15"/>
      <c r="C30" s="15"/>
      <c r="D30" s="15"/>
      <c r="E30" s="15"/>
      <c r="F30" s="15"/>
      <c r="G30" s="15"/>
      <c r="H30" s="15"/>
    </row>
    <row r="31" spans="1:10">
      <c r="B31" s="15"/>
      <c r="C31" s="15"/>
      <c r="D31" s="15"/>
      <c r="E31" s="15"/>
      <c r="F31" s="15"/>
      <c r="G31" s="15"/>
      <c r="H31" s="15"/>
    </row>
    <row r="32" spans="1:10">
      <c r="B32" s="15"/>
      <c r="C32" s="15"/>
      <c r="D32" s="15"/>
      <c r="E32" s="15"/>
      <c r="F32" s="15"/>
      <c r="G32" s="15"/>
      <c r="H32" s="15"/>
    </row>
    <row r="33" spans="2:8">
      <c r="B33" s="15"/>
      <c r="C33" s="15"/>
      <c r="D33" s="15"/>
      <c r="E33" s="15"/>
      <c r="F33" s="15"/>
      <c r="G33" s="15"/>
      <c r="H33" s="15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90155-D9AA-4B8D-940B-29184CEBC1E9}">
  <sheetPr codeName="Foglio5"/>
  <dimension ref="A1:O96"/>
  <sheetViews>
    <sheetView workbookViewId="0">
      <selection activeCell="E27" sqref="E27"/>
    </sheetView>
  </sheetViews>
  <sheetFormatPr defaultRowHeight="15"/>
  <cols>
    <col min="1" max="1" width="28.42578125" bestFit="1" customWidth="1"/>
    <col min="15" max="15" width="97.5703125" bestFit="1" customWidth="1"/>
  </cols>
  <sheetData>
    <row r="1" spans="1:15">
      <c r="A1" t="s">
        <v>247</v>
      </c>
      <c r="B1" t="s">
        <v>248</v>
      </c>
    </row>
    <row r="2" spans="1:15" ht="31.5">
      <c r="A2" t="s">
        <v>229</v>
      </c>
      <c r="B2" s="8">
        <v>0.6</v>
      </c>
      <c r="D2" s="9" t="s">
        <v>249</v>
      </c>
      <c r="O2" s="9" t="s">
        <v>294</v>
      </c>
    </row>
    <row r="3" spans="1:15">
      <c r="A3" t="s">
        <v>230</v>
      </c>
      <c r="B3" s="8">
        <v>0.8</v>
      </c>
      <c r="O3" s="11"/>
    </row>
    <row r="4" spans="1:15" ht="23.25">
      <c r="A4" t="s">
        <v>231</v>
      </c>
      <c r="B4" s="8">
        <v>120</v>
      </c>
      <c r="D4" s="10" t="s">
        <v>250</v>
      </c>
      <c r="O4" s="14" t="s">
        <v>295</v>
      </c>
    </row>
    <row r="5" spans="1:15">
      <c r="A5" t="s">
        <v>232</v>
      </c>
      <c r="B5" s="8">
        <v>15</v>
      </c>
      <c r="D5" s="11"/>
      <c r="O5" s="11" t="s">
        <v>296</v>
      </c>
    </row>
    <row r="6" spans="1:15">
      <c r="A6" t="s">
        <v>233</v>
      </c>
      <c r="B6" s="8">
        <v>2</v>
      </c>
      <c r="D6" s="12" t="s">
        <v>251</v>
      </c>
      <c r="O6" s="11"/>
    </row>
    <row r="7" spans="1:15">
      <c r="A7" t="s">
        <v>234</v>
      </c>
      <c r="B7" s="8">
        <v>30</v>
      </c>
      <c r="D7" s="11" t="s">
        <v>252</v>
      </c>
      <c r="O7" s="14" t="s">
        <v>297</v>
      </c>
    </row>
    <row r="8" spans="1:15">
      <c r="A8" t="s">
        <v>235</v>
      </c>
      <c r="B8" s="8">
        <v>1</v>
      </c>
      <c r="D8" s="11"/>
      <c r="O8" s="11" t="s">
        <v>298</v>
      </c>
    </row>
    <row r="9" spans="1:15">
      <c r="A9" t="s">
        <v>236</v>
      </c>
      <c r="B9" s="8">
        <v>1200</v>
      </c>
      <c r="D9" s="12" t="s">
        <v>253</v>
      </c>
      <c r="O9" s="11"/>
    </row>
    <row r="10" spans="1:15">
      <c r="A10" t="s">
        <v>237</v>
      </c>
      <c r="B10" s="8">
        <v>7</v>
      </c>
      <c r="D10" s="11" t="s">
        <v>254</v>
      </c>
      <c r="O10" s="14" t="s">
        <v>299</v>
      </c>
    </row>
    <row r="11" spans="1:15">
      <c r="A11" t="s">
        <v>238</v>
      </c>
      <c r="B11" s="8">
        <v>12</v>
      </c>
      <c r="D11" s="11"/>
      <c r="O11" s="11" t="s">
        <v>300</v>
      </c>
    </row>
    <row r="12" spans="1:15">
      <c r="A12" t="s">
        <v>239</v>
      </c>
      <c r="B12" s="8">
        <v>10</v>
      </c>
      <c r="D12" s="12" t="s">
        <v>255</v>
      </c>
      <c r="O12" s="11"/>
    </row>
    <row r="13" spans="1:15">
      <c r="A13" t="s">
        <v>240</v>
      </c>
      <c r="B13" s="8">
        <v>8</v>
      </c>
      <c r="D13" s="11" t="s">
        <v>256</v>
      </c>
      <c r="O13" s="14" t="s">
        <v>301</v>
      </c>
    </row>
    <row r="14" spans="1:15">
      <c r="A14" t="s">
        <v>241</v>
      </c>
      <c r="B14" s="8">
        <v>12</v>
      </c>
      <c r="D14" s="11"/>
      <c r="O14" s="11" t="s">
        <v>302</v>
      </c>
    </row>
    <row r="15" spans="1:15">
      <c r="A15" t="s">
        <v>242</v>
      </c>
      <c r="B15">
        <v>0.8</v>
      </c>
      <c r="D15" s="11" t="s">
        <v>257</v>
      </c>
      <c r="O15" s="11"/>
    </row>
    <row r="16" spans="1:15">
      <c r="A16" t="s">
        <v>243</v>
      </c>
      <c r="B16" t="b">
        <v>1</v>
      </c>
      <c r="D16" s="13"/>
      <c r="O16" s="14" t="s">
        <v>303</v>
      </c>
    </row>
    <row r="17" spans="1:15">
      <c r="A17" t="s">
        <v>244</v>
      </c>
      <c r="B17">
        <v>1.6</v>
      </c>
      <c r="D17" s="13" t="s">
        <v>258</v>
      </c>
      <c r="O17" s="11" t="s">
        <v>304</v>
      </c>
    </row>
    <row r="18" spans="1:15">
      <c r="A18" t="s">
        <v>245</v>
      </c>
      <c r="B18">
        <v>1</v>
      </c>
      <c r="O18" s="11"/>
    </row>
    <row r="19" spans="1:15" ht="16.899999999999999" customHeight="1">
      <c r="A19" t="s">
        <v>246</v>
      </c>
      <c r="B19">
        <v>1.5</v>
      </c>
      <c r="D19" s="10" t="s">
        <v>259</v>
      </c>
      <c r="O19" s="14" t="s">
        <v>305</v>
      </c>
    </row>
    <row r="20" spans="1:15">
      <c r="A20" t="s">
        <v>289</v>
      </c>
      <c r="B20">
        <v>2</v>
      </c>
      <c r="D20" s="11"/>
      <c r="O20" s="11" t="s">
        <v>306</v>
      </c>
    </row>
    <row r="21" spans="1:15">
      <c r="A21" t="s">
        <v>290</v>
      </c>
      <c r="B21">
        <v>12</v>
      </c>
      <c r="D21" s="12" t="s">
        <v>260</v>
      </c>
      <c r="O21" s="11"/>
    </row>
    <row r="22" spans="1:15">
      <c r="A22" t="s">
        <v>291</v>
      </c>
      <c r="B22">
        <v>9</v>
      </c>
      <c r="D22" s="11" t="s">
        <v>261</v>
      </c>
      <c r="O22" s="14" t="s">
        <v>307</v>
      </c>
    </row>
    <row r="23" spans="1:15">
      <c r="A23" t="s">
        <v>292</v>
      </c>
      <c r="B23">
        <v>6</v>
      </c>
      <c r="D23" s="11"/>
      <c r="O23" s="11" t="s">
        <v>308</v>
      </c>
    </row>
    <row r="24" spans="1:15">
      <c r="A24" t="s">
        <v>293</v>
      </c>
      <c r="B24">
        <v>5</v>
      </c>
      <c r="D24" s="12" t="s">
        <v>262</v>
      </c>
      <c r="O24" s="11"/>
    </row>
    <row r="25" spans="1:15">
      <c r="A25" t="s">
        <v>352</v>
      </c>
      <c r="B25">
        <v>240</v>
      </c>
      <c r="D25" s="11" t="s">
        <v>263</v>
      </c>
      <c r="O25" s="14" t="s">
        <v>309</v>
      </c>
    </row>
    <row r="26" spans="1:15">
      <c r="A26" t="s">
        <v>353</v>
      </c>
      <c r="B26">
        <v>0.75</v>
      </c>
      <c r="O26" s="11" t="s">
        <v>310</v>
      </c>
    </row>
    <row r="27" spans="1:15" ht="23.25">
      <c r="A27" t="s">
        <v>401</v>
      </c>
      <c r="D27" s="10" t="s">
        <v>264</v>
      </c>
      <c r="O27" s="11"/>
    </row>
    <row r="28" spans="1:15">
      <c r="A28" t="s">
        <v>402</v>
      </c>
      <c r="B28">
        <v>0</v>
      </c>
      <c r="D28" s="11"/>
      <c r="O28" s="14" t="s">
        <v>311</v>
      </c>
    </row>
    <row r="29" spans="1:15">
      <c r="D29" s="12" t="s">
        <v>265</v>
      </c>
      <c r="O29" s="11" t="s">
        <v>312</v>
      </c>
    </row>
    <row r="30" spans="1:15">
      <c r="D30" s="11" t="s">
        <v>266</v>
      </c>
      <c r="O30" s="11"/>
    </row>
    <row r="31" spans="1:15">
      <c r="D31" s="11"/>
      <c r="O31" s="14" t="s">
        <v>313</v>
      </c>
    </row>
    <row r="32" spans="1:15">
      <c r="D32" s="12" t="s">
        <v>267</v>
      </c>
      <c r="O32" s="11" t="s">
        <v>314</v>
      </c>
    </row>
    <row r="33" spans="4:15">
      <c r="D33" s="11" t="s">
        <v>268</v>
      </c>
      <c r="O33" s="11"/>
    </row>
    <row r="34" spans="4:15">
      <c r="D34" s="11"/>
      <c r="O34" s="14" t="s">
        <v>315</v>
      </c>
    </row>
    <row r="35" spans="4:15">
      <c r="D35" s="12" t="s">
        <v>269</v>
      </c>
      <c r="O35" s="11" t="s">
        <v>316</v>
      </c>
    </row>
    <row r="36" spans="4:15">
      <c r="D36" s="11" t="s">
        <v>270</v>
      </c>
      <c r="O36" s="11"/>
    </row>
    <row r="37" spans="4:15">
      <c r="D37" s="11"/>
      <c r="O37" s="14" t="s">
        <v>317</v>
      </c>
    </row>
    <row r="38" spans="4:15">
      <c r="D38" s="12" t="s">
        <v>271</v>
      </c>
      <c r="O38" s="11" t="s">
        <v>318</v>
      </c>
    </row>
    <row r="39" spans="4:15">
      <c r="D39" s="11" t="s">
        <v>272</v>
      </c>
      <c r="O39" s="11"/>
    </row>
    <row r="40" spans="4:15">
      <c r="D40" s="11"/>
      <c r="O40" s="14" t="s">
        <v>319</v>
      </c>
    </row>
    <row r="41" spans="4:15">
      <c r="D41" s="12" t="s">
        <v>273</v>
      </c>
      <c r="O41" s="11" t="s">
        <v>320</v>
      </c>
    </row>
    <row r="42" spans="4:15">
      <c r="D42" s="11" t="s">
        <v>274</v>
      </c>
      <c r="O42" s="11"/>
    </row>
    <row r="43" spans="4:15">
      <c r="O43" s="14" t="s">
        <v>321</v>
      </c>
    </row>
    <row r="44" spans="4:15" ht="23.25">
      <c r="D44" s="10" t="s">
        <v>275</v>
      </c>
      <c r="O44" s="11" t="s">
        <v>322</v>
      </c>
    </row>
    <row r="45" spans="4:15">
      <c r="D45" s="11"/>
      <c r="O45" s="11"/>
    </row>
    <row r="46" spans="4:15">
      <c r="D46" s="12" t="s">
        <v>276</v>
      </c>
      <c r="O46" s="14" t="s">
        <v>323</v>
      </c>
    </row>
    <row r="47" spans="4:15">
      <c r="D47" s="11" t="s">
        <v>277</v>
      </c>
      <c r="O47" s="11" t="s">
        <v>324</v>
      </c>
    </row>
    <row r="48" spans="4:15">
      <c r="D48" s="11"/>
      <c r="O48" s="11" t="s">
        <v>325</v>
      </c>
    </row>
    <row r="49" spans="4:15">
      <c r="D49" s="12" t="s">
        <v>278</v>
      </c>
      <c r="O49" s="11"/>
    </row>
    <row r="50" spans="4:15">
      <c r="D50" s="11" t="s">
        <v>279</v>
      </c>
      <c r="O50" s="14" t="s">
        <v>326</v>
      </c>
    </row>
    <row r="51" spans="4:15">
      <c r="D51" s="11"/>
      <c r="O51" s="11" t="s">
        <v>327</v>
      </c>
    </row>
    <row r="52" spans="4:15">
      <c r="D52" s="12" t="s">
        <v>280</v>
      </c>
      <c r="O52" s="11" t="s">
        <v>328</v>
      </c>
    </row>
    <row r="53" spans="4:15">
      <c r="D53" s="11" t="s">
        <v>281</v>
      </c>
      <c r="O53" s="11"/>
    </row>
    <row r="54" spans="4:15">
      <c r="D54" s="11"/>
      <c r="O54" s="14" t="s">
        <v>329</v>
      </c>
    </row>
    <row r="55" spans="4:15">
      <c r="D55" s="12" t="s">
        <v>282</v>
      </c>
      <c r="O55" s="11" t="s">
        <v>330</v>
      </c>
    </row>
    <row r="56" spans="4:15">
      <c r="D56" s="11" t="s">
        <v>283</v>
      </c>
      <c r="O56" s="11"/>
    </row>
    <row r="57" spans="4:15">
      <c r="O57" s="14" t="s">
        <v>331</v>
      </c>
    </row>
    <row r="58" spans="4:15" ht="23.25">
      <c r="D58" s="10" t="s">
        <v>284</v>
      </c>
      <c r="O58" s="11" t="s">
        <v>332</v>
      </c>
    </row>
    <row r="59" spans="4:15">
      <c r="D59" s="11"/>
    </row>
    <row r="60" spans="4:15" ht="31.5">
      <c r="D60" s="12" t="s">
        <v>285</v>
      </c>
      <c r="O60" s="9" t="s">
        <v>333</v>
      </c>
    </row>
    <row r="61" spans="4:15">
      <c r="D61" s="11" t="s">
        <v>286</v>
      </c>
      <c r="O61" s="11"/>
    </row>
    <row r="62" spans="4:15">
      <c r="D62" s="11"/>
      <c r="O62" s="14" t="s">
        <v>334</v>
      </c>
    </row>
    <row r="63" spans="4:15">
      <c r="D63" s="12" t="s">
        <v>287</v>
      </c>
      <c r="O63" s="11"/>
    </row>
    <row r="64" spans="4:15">
      <c r="D64" s="11" t="s">
        <v>288</v>
      </c>
      <c r="O64" s="14" t="s">
        <v>335</v>
      </c>
    </row>
    <row r="65" spans="15:15">
      <c r="O65" s="11"/>
    </row>
    <row r="66" spans="15:15">
      <c r="O66" s="14" t="s">
        <v>336</v>
      </c>
    </row>
    <row r="67" spans="15:15">
      <c r="O67" s="11"/>
    </row>
    <row r="68" spans="15:15">
      <c r="O68" s="14" t="s">
        <v>337</v>
      </c>
    </row>
    <row r="69" spans="15:15">
      <c r="O69" s="11"/>
    </row>
    <row r="70" spans="15:15">
      <c r="O70" s="14" t="s">
        <v>338</v>
      </c>
    </row>
    <row r="72" spans="15:15" ht="31.5">
      <c r="O72" s="9" t="s">
        <v>339</v>
      </c>
    </row>
    <row r="74" spans="15:15">
      <c r="O74" t="s">
        <v>340</v>
      </c>
    </row>
    <row r="75" spans="15:15">
      <c r="O75" s="11"/>
    </row>
    <row r="76" spans="15:15">
      <c r="O76" s="14" t="s">
        <v>341</v>
      </c>
    </row>
    <row r="77" spans="15:15">
      <c r="O77" s="11"/>
    </row>
    <row r="78" spans="15:15">
      <c r="O78" s="14" t="s">
        <v>342</v>
      </c>
    </row>
    <row r="79" spans="15:15">
      <c r="O79" s="11"/>
    </row>
    <row r="80" spans="15:15">
      <c r="O80" s="14" t="s">
        <v>343</v>
      </c>
    </row>
    <row r="82" spans="15:15">
      <c r="O82" t="s">
        <v>344</v>
      </c>
    </row>
    <row r="83" spans="15:15">
      <c r="O83" s="11"/>
    </row>
    <row r="84" spans="15:15">
      <c r="O84" s="14" t="s">
        <v>345</v>
      </c>
    </row>
    <row r="85" spans="15:15">
      <c r="O85" s="11"/>
    </row>
    <row r="86" spans="15:15">
      <c r="O86" s="14" t="s">
        <v>346</v>
      </c>
    </row>
    <row r="87" spans="15:15">
      <c r="O87" s="11"/>
    </row>
    <row r="88" spans="15:15">
      <c r="O88" s="14" t="s">
        <v>347</v>
      </c>
    </row>
    <row r="90" spans="15:15" ht="31.5">
      <c r="O90" s="9" t="s">
        <v>348</v>
      </c>
    </row>
    <row r="91" spans="15:15">
      <c r="O91" s="11"/>
    </row>
    <row r="92" spans="15:15">
      <c r="O92" s="11" t="s">
        <v>349</v>
      </c>
    </row>
    <row r="93" spans="15:15">
      <c r="O93" s="11"/>
    </row>
    <row r="94" spans="15:15">
      <c r="O94" s="11" t="s">
        <v>350</v>
      </c>
    </row>
    <row r="95" spans="15:15">
      <c r="O95" s="11"/>
    </row>
    <row r="96" spans="15:15">
      <c r="O96" s="11" t="s">
        <v>351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824A2-F8B7-45DB-862D-40E013A814C2}">
  <sheetPr codeName="Foglio11"/>
  <dimension ref="I1:P96"/>
  <sheetViews>
    <sheetView workbookViewId="0">
      <selection activeCell="I22" sqref="I22"/>
    </sheetView>
  </sheetViews>
  <sheetFormatPr defaultRowHeight="15"/>
  <cols>
    <col min="9" max="9" width="11.85546875" customWidth="1"/>
  </cols>
  <sheetData>
    <row r="1" spans="9:16">
      <c r="I1" t="s">
        <v>48</v>
      </c>
    </row>
    <row r="2" spans="9:16">
      <c r="I2" t="s">
        <v>354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9:16">
      <c r="I3" t="s">
        <v>355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9:16">
      <c r="I4" t="s">
        <v>356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9:16">
      <c r="I5" t="s">
        <v>357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9:16">
      <c r="I6" t="s">
        <v>358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9:16">
      <c r="I7" t="s">
        <v>359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9:16">
      <c r="I8" t="s">
        <v>360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9:16">
      <c r="I9" t="s">
        <v>361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9:16">
      <c r="I10" t="s">
        <v>362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9:16">
      <c r="I11" t="s">
        <v>363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9:16">
      <c r="I12" t="s">
        <v>364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9:16">
      <c r="I13" t="s">
        <v>365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9:16">
      <c r="I14" t="s">
        <v>366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9:16">
      <c r="I15" t="s">
        <v>367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9:16">
      <c r="I16" t="s">
        <v>368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9:16">
      <c r="I17" t="s">
        <v>369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9:16">
      <c r="I18" t="s">
        <v>370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9:16">
      <c r="I19" t="s">
        <v>371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9:16">
      <c r="I20" t="s">
        <v>372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9:16">
      <c r="I21" t="s">
        <v>373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9:16">
      <c r="I22" t="s">
        <v>374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9:16">
      <c r="I23" t="s">
        <v>375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9:16">
      <c r="I24" t="s">
        <v>376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9:16">
      <c r="I25" t="s">
        <v>377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9:16">
      <c r="I26" t="s">
        <v>378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9:16">
      <c r="I27" t="s">
        <v>379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9:16">
      <c r="I28" t="s">
        <v>380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9:16">
      <c r="I29" t="s">
        <v>381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9:16">
      <c r="I30" t="s">
        <v>382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9:16">
      <c r="I31" t="s">
        <v>383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9:16">
      <c r="I32" t="s">
        <v>384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9:16">
      <c r="I33" t="s">
        <v>385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9:16">
      <c r="I34" t="s">
        <v>386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9:16">
      <c r="I35" t="s">
        <v>387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</row>
    <row r="36" spans="9:16">
      <c r="I36" t="s">
        <v>388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9:16">
      <c r="I37" t="s">
        <v>0</v>
      </c>
      <c r="J37" s="5">
        <v>8</v>
      </c>
      <c r="K37" s="5">
        <v>8.9975751599111131</v>
      </c>
      <c r="L37" s="5">
        <v>8.9975751599111131</v>
      </c>
      <c r="M37" s="5">
        <v>8.9975751599111131</v>
      </c>
      <c r="N37" s="5">
        <v>8.9975751599111131</v>
      </c>
      <c r="O37" s="4">
        <v>7</v>
      </c>
      <c r="P37" s="5">
        <v>0</v>
      </c>
    </row>
    <row r="38" spans="9:16">
      <c r="I38" t="s">
        <v>1</v>
      </c>
      <c r="J38" s="5">
        <v>8</v>
      </c>
      <c r="K38" s="5">
        <v>8.9975751599111131</v>
      </c>
      <c r="L38" s="5">
        <v>8.9975751599111131</v>
      </c>
      <c r="M38" s="5">
        <v>8.9975751599111131</v>
      </c>
      <c r="N38" s="5">
        <v>8.9975751599111131</v>
      </c>
      <c r="O38" s="4">
        <v>7</v>
      </c>
      <c r="P38" s="5">
        <v>0</v>
      </c>
    </row>
    <row r="39" spans="9:16">
      <c r="I39" t="s">
        <v>2</v>
      </c>
      <c r="J39" s="5">
        <v>14</v>
      </c>
      <c r="K39" s="5">
        <v>14.802545548263055</v>
      </c>
      <c r="L39" s="5">
        <v>14.802545548263055</v>
      </c>
      <c r="M39" s="5">
        <v>14.802545548263055</v>
      </c>
      <c r="N39" s="5">
        <v>14.802545548263055</v>
      </c>
      <c r="O39" s="4">
        <v>8</v>
      </c>
      <c r="P39" s="5">
        <v>0</v>
      </c>
    </row>
    <row r="40" spans="9:16">
      <c r="I40" t="s">
        <v>3</v>
      </c>
      <c r="J40" s="5">
        <v>14</v>
      </c>
      <c r="K40" s="5">
        <v>14.802545548263055</v>
      </c>
      <c r="L40" s="5">
        <v>14.802545548263055</v>
      </c>
      <c r="M40" s="5">
        <v>14.802545548263055</v>
      </c>
      <c r="N40" s="5">
        <v>14.802545548263055</v>
      </c>
      <c r="O40" s="4">
        <v>9</v>
      </c>
      <c r="P40" s="5">
        <v>0</v>
      </c>
    </row>
    <row r="41" spans="9:16">
      <c r="I41" t="s">
        <v>4</v>
      </c>
      <c r="J41" s="5">
        <v>18</v>
      </c>
      <c r="K41" s="5">
        <v>18.430630148014643</v>
      </c>
      <c r="L41" s="5">
        <v>18.430630148014643</v>
      </c>
      <c r="M41" s="5">
        <v>18.430630148014643</v>
      </c>
      <c r="N41" s="5">
        <v>18.430630148014643</v>
      </c>
      <c r="O41" s="4">
        <v>11</v>
      </c>
      <c r="P41" s="5">
        <v>0</v>
      </c>
    </row>
    <row r="42" spans="9:16">
      <c r="I42" t="s">
        <v>5</v>
      </c>
      <c r="J42" s="5">
        <v>18</v>
      </c>
      <c r="K42" s="5">
        <v>18.430630148014643</v>
      </c>
      <c r="L42" s="5">
        <v>18.430630148014643</v>
      </c>
      <c r="M42" s="5">
        <v>18.430630148014643</v>
      </c>
      <c r="N42" s="5">
        <v>18.430630148014643</v>
      </c>
      <c r="O42" s="4">
        <v>11</v>
      </c>
      <c r="P42" s="5">
        <v>0</v>
      </c>
    </row>
    <row r="43" spans="9:16">
      <c r="I43" t="s">
        <v>6</v>
      </c>
      <c r="J43" s="5">
        <v>17</v>
      </c>
      <c r="K43" s="5">
        <v>17.592874232195797</v>
      </c>
      <c r="L43" s="5">
        <v>17.592874232195797</v>
      </c>
      <c r="M43" s="5">
        <v>17.592874232195797</v>
      </c>
      <c r="N43" s="5">
        <v>17.592874232195797</v>
      </c>
      <c r="O43" s="4">
        <v>11</v>
      </c>
      <c r="P43" s="5">
        <v>0</v>
      </c>
    </row>
    <row r="44" spans="9:16">
      <c r="I44" t="s">
        <v>7</v>
      </c>
      <c r="J44" s="5">
        <v>17</v>
      </c>
      <c r="K44" s="5">
        <v>17.415907283776445</v>
      </c>
      <c r="L44" s="5">
        <v>17.415907283776445</v>
      </c>
      <c r="M44" s="5">
        <v>17.415907283776445</v>
      </c>
      <c r="N44" s="5">
        <v>17.415907283776445</v>
      </c>
      <c r="O44" s="4">
        <v>9</v>
      </c>
      <c r="P44" s="5">
        <v>0</v>
      </c>
    </row>
    <row r="45" spans="9:16">
      <c r="I45" t="s">
        <v>8</v>
      </c>
      <c r="J45" s="5">
        <v>16</v>
      </c>
      <c r="K45" s="5">
        <v>16.755118316376951</v>
      </c>
      <c r="L45" s="5">
        <v>16.755118316376951</v>
      </c>
      <c r="M45" s="5">
        <v>16.755118316376951</v>
      </c>
      <c r="N45" s="5">
        <v>16.755118316376951</v>
      </c>
      <c r="O45" s="4">
        <v>7</v>
      </c>
      <c r="P45" s="5">
        <v>6.5802592223330025</v>
      </c>
    </row>
    <row r="46" spans="9:16">
      <c r="I46" t="s">
        <v>9</v>
      </c>
      <c r="J46" s="5">
        <v>16</v>
      </c>
      <c r="K46" s="5">
        <v>16.586578365501378</v>
      </c>
      <c r="L46" s="5">
        <v>16.586578365501378</v>
      </c>
      <c r="M46" s="5">
        <v>16.586578365501378</v>
      </c>
      <c r="N46" s="5">
        <v>16.586578365501378</v>
      </c>
      <c r="O46" s="4">
        <v>9</v>
      </c>
      <c r="P46" s="5">
        <v>6.5227059346741134</v>
      </c>
    </row>
    <row r="47" spans="9:16">
      <c r="I47" t="s">
        <v>10</v>
      </c>
      <c r="J47" s="5">
        <v>14</v>
      </c>
      <c r="K47" s="5">
        <v>14.521102540860023</v>
      </c>
      <c r="L47" s="5">
        <v>14.521102540860023</v>
      </c>
      <c r="M47" s="5">
        <v>14.521102540860023</v>
      </c>
      <c r="N47" s="5">
        <v>14.521102540860023</v>
      </c>
      <c r="O47" s="4">
        <v>12</v>
      </c>
      <c r="P47" s="5">
        <v>3.2901296111665013</v>
      </c>
    </row>
    <row r="48" spans="9:16">
      <c r="I48" t="s">
        <v>11</v>
      </c>
      <c r="J48" s="5">
        <v>14</v>
      </c>
      <c r="K48" s="5">
        <v>14.685244619317372</v>
      </c>
      <c r="L48" s="5">
        <v>14.685244619317372</v>
      </c>
      <c r="M48" s="5">
        <v>14.685244619317372</v>
      </c>
      <c r="N48" s="5">
        <v>14.685244619317372</v>
      </c>
      <c r="O48" s="4">
        <v>11</v>
      </c>
      <c r="P48" s="5">
        <v>3.2901296111665013</v>
      </c>
    </row>
    <row r="49" spans="9:16">
      <c r="I49" t="s">
        <v>12</v>
      </c>
      <c r="J49" s="5">
        <v>14</v>
      </c>
      <c r="K49" s="5">
        <v>14.557260664716745</v>
      </c>
      <c r="L49" s="5">
        <v>14.557260664716745</v>
      </c>
      <c r="M49" s="5">
        <v>14.557260664716745</v>
      </c>
      <c r="N49" s="5">
        <v>14.557260664716745</v>
      </c>
      <c r="O49" s="4">
        <v>11</v>
      </c>
      <c r="P49" s="5">
        <v>3.9860980711897356</v>
      </c>
    </row>
    <row r="50" spans="9:16">
      <c r="I50" t="s">
        <v>13</v>
      </c>
      <c r="J50" s="5">
        <v>14</v>
      </c>
      <c r="K50" s="5">
        <v>14.685244619317372</v>
      </c>
      <c r="L50" s="5">
        <v>14.685244619317372</v>
      </c>
      <c r="M50" s="5">
        <v>14.685244619317372</v>
      </c>
      <c r="N50" s="5">
        <v>14.685244619317372</v>
      </c>
      <c r="O50" s="4">
        <v>11</v>
      </c>
      <c r="P50" s="5">
        <v>3.9860980711897356</v>
      </c>
    </row>
    <row r="51" spans="9:16">
      <c r="I51" t="s">
        <v>14</v>
      </c>
      <c r="J51" s="5">
        <v>12</v>
      </c>
      <c r="K51" s="5">
        <v>12.387668931033</v>
      </c>
      <c r="L51" s="5">
        <v>12.387668931033</v>
      </c>
      <c r="M51" s="5">
        <v>12.387668931033</v>
      </c>
      <c r="N51" s="5">
        <v>12.387668931033</v>
      </c>
      <c r="O51" s="4">
        <v>12</v>
      </c>
      <c r="P51" s="5">
        <v>1.4494902077053584</v>
      </c>
    </row>
    <row r="52" spans="9:16">
      <c r="I52" t="s">
        <v>15</v>
      </c>
      <c r="J52" s="5">
        <v>12</v>
      </c>
      <c r="K52" s="5">
        <v>12.373170254849676</v>
      </c>
      <c r="L52" s="5">
        <v>12.373170254849676</v>
      </c>
      <c r="M52" s="5">
        <v>12.373170254849676</v>
      </c>
      <c r="N52" s="5">
        <v>12.373170254849676</v>
      </c>
      <c r="O52" s="4">
        <v>12</v>
      </c>
      <c r="P52" s="5">
        <v>1.5157778696431035</v>
      </c>
    </row>
    <row r="53" spans="9:16">
      <c r="I53" t="s">
        <v>16</v>
      </c>
      <c r="J53" s="5">
        <v>6</v>
      </c>
      <c r="K53" s="5">
        <v>6.4613128679821461</v>
      </c>
      <c r="L53" s="5">
        <v>6.4613128679821461</v>
      </c>
      <c r="M53" s="5">
        <v>6.4613128679821461</v>
      </c>
      <c r="N53" s="5">
        <v>6.4613128679821461</v>
      </c>
      <c r="O53" s="4">
        <v>5</v>
      </c>
      <c r="P53" s="5">
        <v>2.4303254111037469</v>
      </c>
    </row>
    <row r="54" spans="9:16">
      <c r="I54" t="s">
        <v>17</v>
      </c>
      <c r="J54" s="5">
        <v>6</v>
      </c>
      <c r="K54" s="5">
        <v>6.4613128679821461</v>
      </c>
      <c r="L54" s="5">
        <v>6.4613128679821461</v>
      </c>
      <c r="M54" s="5">
        <v>6.4613128679821461</v>
      </c>
      <c r="N54" s="5">
        <v>6.4613128679821461</v>
      </c>
      <c r="O54" s="4">
        <v>5</v>
      </c>
      <c r="P54" s="5">
        <v>2.5001623482044293</v>
      </c>
    </row>
    <row r="55" spans="9:16">
      <c r="I55" t="s">
        <v>18</v>
      </c>
      <c r="J55" s="5">
        <v>5</v>
      </c>
      <c r="K55" s="5">
        <v>5.0531987662863287</v>
      </c>
      <c r="L55" s="5">
        <v>5.0531987662863287</v>
      </c>
      <c r="M55" s="5">
        <v>5.0531987662863287</v>
      </c>
      <c r="N55" s="5">
        <v>5.0531987662863287</v>
      </c>
      <c r="O55" s="4">
        <v>3</v>
      </c>
      <c r="P55" s="5">
        <v>2.1742353115580375</v>
      </c>
    </row>
    <row r="56" spans="9:16">
      <c r="I56" t="s">
        <v>19</v>
      </c>
      <c r="J56" s="5">
        <v>5</v>
      </c>
      <c r="K56" s="5">
        <v>5.0531987662863287</v>
      </c>
      <c r="L56" s="5">
        <v>5.0531987662863287</v>
      </c>
      <c r="M56" s="5">
        <v>5.0531987662863287</v>
      </c>
      <c r="N56" s="5">
        <v>5.0531987662863287</v>
      </c>
      <c r="O56" s="4">
        <v>3</v>
      </c>
      <c r="P56" s="5">
        <v>2.1742353115580375</v>
      </c>
    </row>
    <row r="57" spans="9:16">
      <c r="I57" t="s">
        <v>20</v>
      </c>
      <c r="J57" s="5">
        <v>5</v>
      </c>
      <c r="K57" s="5">
        <v>5.9933427815878506</v>
      </c>
      <c r="L57" s="5">
        <v>5.9933427815878506</v>
      </c>
      <c r="M57" s="5">
        <v>5.9933427815878506</v>
      </c>
      <c r="N57" s="5">
        <v>5.9933427815878506</v>
      </c>
      <c r="O57" s="4">
        <v>2</v>
      </c>
      <c r="P57" s="5">
        <v>2.5589896975739457</v>
      </c>
    </row>
    <row r="58" spans="9:16">
      <c r="I58" t="s">
        <v>21</v>
      </c>
      <c r="J58" s="5">
        <v>6</v>
      </c>
      <c r="K58" s="5">
        <v>6.0288063483428083</v>
      </c>
      <c r="L58" s="5">
        <v>6.0288063483428083</v>
      </c>
      <c r="M58" s="5">
        <v>6.0288063483428083</v>
      </c>
      <c r="N58" s="5">
        <v>6.0288063483428083</v>
      </c>
      <c r="O58" s="4">
        <v>3</v>
      </c>
      <c r="P58" s="5">
        <v>2.5589896975739457</v>
      </c>
    </row>
    <row r="59" spans="9:16">
      <c r="I59" t="s">
        <v>22</v>
      </c>
      <c r="J59" s="5">
        <v>6</v>
      </c>
      <c r="K59" s="5">
        <v>6.3327585213409483</v>
      </c>
      <c r="L59" s="5">
        <v>6.3327585213409483</v>
      </c>
      <c r="M59" s="5">
        <v>6.3327585213409483</v>
      </c>
      <c r="N59" s="5">
        <v>6.3327585213409483</v>
      </c>
      <c r="O59" s="4">
        <v>3</v>
      </c>
      <c r="P59" s="5">
        <v>1.4622798271851116</v>
      </c>
    </row>
    <row r="60" spans="9:16">
      <c r="I60" t="s">
        <v>23</v>
      </c>
      <c r="J60" s="5">
        <v>6</v>
      </c>
      <c r="K60" s="5">
        <v>6.3327585213409483</v>
      </c>
      <c r="L60" s="5">
        <v>6.3327585213409483</v>
      </c>
      <c r="M60" s="5">
        <v>6.3327585213409483</v>
      </c>
      <c r="N60" s="5">
        <v>6.3327585213409483</v>
      </c>
      <c r="O60" s="4">
        <v>3</v>
      </c>
      <c r="P60" s="5">
        <v>1.4709323705412363</v>
      </c>
    </row>
    <row r="61" spans="9:16">
      <c r="I61" t="s">
        <v>24</v>
      </c>
      <c r="J61" s="5">
        <v>7</v>
      </c>
      <c r="K61" s="5">
        <v>7.6728090307287991</v>
      </c>
      <c r="L61" s="5">
        <v>7.6728090307287991</v>
      </c>
      <c r="M61" s="5">
        <v>7.6728090307287991</v>
      </c>
      <c r="N61" s="5">
        <v>7.6728090307287991</v>
      </c>
      <c r="O61" s="4">
        <v>4</v>
      </c>
      <c r="P61" s="5">
        <v>3.2613529673370572</v>
      </c>
    </row>
    <row r="62" spans="9:16">
      <c r="I62" t="s">
        <v>25</v>
      </c>
      <c r="J62" s="5">
        <v>7</v>
      </c>
      <c r="K62" s="5">
        <v>7.6728090307287991</v>
      </c>
      <c r="L62" s="5">
        <v>7.6728090307287991</v>
      </c>
      <c r="M62" s="5">
        <v>7.6728090307287991</v>
      </c>
      <c r="N62" s="5">
        <v>7.6728090307287991</v>
      </c>
      <c r="O62" s="4">
        <v>5</v>
      </c>
      <c r="P62" s="5">
        <v>3.2613529673370572</v>
      </c>
    </row>
    <row r="63" spans="9:16">
      <c r="I63" t="s">
        <v>26</v>
      </c>
      <c r="J63" s="5">
        <v>8</v>
      </c>
      <c r="K63" s="5">
        <v>8.5046534618197693</v>
      </c>
      <c r="L63" s="5">
        <v>8.5046534618197693</v>
      </c>
      <c r="M63" s="5">
        <v>8.5046534618197693</v>
      </c>
      <c r="N63" s="5">
        <v>8.5046534618197693</v>
      </c>
      <c r="O63" s="4">
        <v>5</v>
      </c>
      <c r="P63" s="5">
        <v>1.087117655779019</v>
      </c>
    </row>
    <row r="64" spans="9:16">
      <c r="I64" t="s">
        <v>27</v>
      </c>
      <c r="J64" s="5">
        <v>8</v>
      </c>
      <c r="K64" s="5">
        <v>8.5837256530970176</v>
      </c>
      <c r="L64" s="5">
        <v>8.5837256530970176</v>
      </c>
      <c r="M64" s="5">
        <v>8.5837256530970176</v>
      </c>
      <c r="N64" s="5">
        <v>8.5837256530970176</v>
      </c>
      <c r="O64" s="4">
        <v>5</v>
      </c>
      <c r="P64" s="5">
        <v>1.0967098703888338</v>
      </c>
    </row>
    <row r="65" spans="9:16">
      <c r="I65" t="s">
        <v>28</v>
      </c>
      <c r="J65" s="5">
        <v>11</v>
      </c>
      <c r="K65" s="5">
        <v>11.506109798451659</v>
      </c>
      <c r="L65" s="5">
        <v>11.506109798451659</v>
      </c>
      <c r="M65" s="5">
        <v>11.506109798451659</v>
      </c>
      <c r="N65" s="5">
        <v>11.506109798451659</v>
      </c>
      <c r="O65" s="4">
        <v>5</v>
      </c>
      <c r="P65" s="5">
        <v>1.846469645957431</v>
      </c>
    </row>
    <row r="66" spans="9:16">
      <c r="I66" t="s">
        <v>29</v>
      </c>
      <c r="J66" s="5">
        <v>11</v>
      </c>
      <c r="K66" s="5">
        <v>11.580278963461017</v>
      </c>
      <c r="L66" s="5">
        <v>11.580278963461017</v>
      </c>
      <c r="M66" s="5">
        <v>11.580278963461017</v>
      </c>
      <c r="N66" s="5">
        <v>11.580278963461017</v>
      </c>
      <c r="O66" s="4">
        <v>5</v>
      </c>
      <c r="P66" s="5">
        <v>1.846469645957431</v>
      </c>
    </row>
    <row r="67" spans="9:16">
      <c r="I67" t="s">
        <v>30</v>
      </c>
      <c r="J67" s="5">
        <v>13</v>
      </c>
      <c r="K67" s="5">
        <v>13.620283370968716</v>
      </c>
      <c r="L67" s="5">
        <v>13.620283370968716</v>
      </c>
      <c r="M67" s="5">
        <v>13.620283370968716</v>
      </c>
      <c r="N67" s="5">
        <v>13.620283370968716</v>
      </c>
      <c r="O67" s="4">
        <v>6</v>
      </c>
      <c r="P67" s="5">
        <v>3.692939291914862</v>
      </c>
    </row>
    <row r="68" spans="9:16">
      <c r="I68" t="s">
        <v>31</v>
      </c>
      <c r="J68" s="5">
        <v>13</v>
      </c>
      <c r="K68" s="5">
        <v>13.707344841379737</v>
      </c>
      <c r="L68" s="5">
        <v>13.707344841379737</v>
      </c>
      <c r="M68" s="5">
        <v>13.707344841379737</v>
      </c>
      <c r="N68" s="5">
        <v>13.707344841379737</v>
      </c>
      <c r="O68" s="4">
        <v>5</v>
      </c>
      <c r="P68" s="5">
        <v>3.789444674107759</v>
      </c>
    </row>
    <row r="69" spans="9:16">
      <c r="I69" t="s">
        <v>32</v>
      </c>
      <c r="J69" s="5">
        <v>12</v>
      </c>
      <c r="K69" s="5">
        <v>12.879085891840422</v>
      </c>
      <c r="L69" s="5">
        <v>12.879085891840422</v>
      </c>
      <c r="M69" s="5">
        <v>12.879085891840422</v>
      </c>
      <c r="N69" s="5">
        <v>12.879085891840422</v>
      </c>
      <c r="O69" s="4">
        <v>7</v>
      </c>
      <c r="P69" s="5">
        <v>1.1078817875744587</v>
      </c>
    </row>
    <row r="70" spans="9:16">
      <c r="I70" t="s">
        <v>33</v>
      </c>
      <c r="J70" s="5">
        <v>13</v>
      </c>
      <c r="K70" s="5">
        <v>13.010594597339134</v>
      </c>
      <c r="L70" s="5">
        <v>13.010594597339134</v>
      </c>
      <c r="M70" s="5">
        <v>13.010594597339134</v>
      </c>
      <c r="N70" s="5">
        <v>13.010594597339134</v>
      </c>
      <c r="O70" s="4">
        <v>6</v>
      </c>
      <c r="P70" s="5">
        <v>1.1114198388441234</v>
      </c>
    </row>
    <row r="71" spans="9:16">
      <c r="I71" t="s">
        <v>34</v>
      </c>
      <c r="J71" s="5">
        <v>14</v>
      </c>
      <c r="K71" s="5">
        <v>14.249832045343291</v>
      </c>
      <c r="L71" s="5">
        <v>14.249832045343291</v>
      </c>
      <c r="M71" s="5">
        <v>14.249832045343291</v>
      </c>
      <c r="N71" s="5">
        <v>14.249832045343291</v>
      </c>
      <c r="O71" s="4">
        <v>7</v>
      </c>
      <c r="P71" s="5">
        <v>2.5850575043404032</v>
      </c>
    </row>
    <row r="72" spans="9:16">
      <c r="I72" t="s">
        <v>35</v>
      </c>
      <c r="J72" s="5">
        <v>14</v>
      </c>
      <c r="K72" s="5">
        <v>14.200022385742072</v>
      </c>
      <c r="L72" s="5">
        <v>14.200022385742072</v>
      </c>
      <c r="M72" s="5">
        <v>14.200022385742072</v>
      </c>
      <c r="N72" s="5">
        <v>14.200022385742072</v>
      </c>
      <c r="O72" s="4">
        <v>6</v>
      </c>
      <c r="P72" s="5">
        <v>2.5589896975739457</v>
      </c>
    </row>
    <row r="73" spans="9:16">
      <c r="I73" t="s">
        <v>36</v>
      </c>
      <c r="J73" s="5">
        <v>12</v>
      </c>
      <c r="K73" s="5">
        <v>12.199492294586488</v>
      </c>
      <c r="L73" s="5">
        <v>12.199492294586488</v>
      </c>
      <c r="M73" s="5">
        <v>12.199492294586488</v>
      </c>
      <c r="N73" s="5">
        <v>12.199492294586488</v>
      </c>
      <c r="O73" s="4">
        <v>6</v>
      </c>
      <c r="P73" s="5">
        <v>0.36773309263530907</v>
      </c>
    </row>
    <row r="74" spans="9:16">
      <c r="I74" t="s">
        <v>37</v>
      </c>
      <c r="J74" s="5">
        <v>12</v>
      </c>
      <c r="K74" s="5">
        <v>12.14221409738516</v>
      </c>
      <c r="L74" s="5">
        <v>12.14221409738516</v>
      </c>
      <c r="M74" s="5">
        <v>12.14221409738516</v>
      </c>
      <c r="N74" s="5">
        <v>12.14221409738516</v>
      </c>
      <c r="O74" s="4">
        <v>5</v>
      </c>
      <c r="P74" s="5">
        <v>0.36773309263530907</v>
      </c>
    </row>
    <row r="75" spans="9:16">
      <c r="I75" t="s">
        <v>38</v>
      </c>
      <c r="J75" s="5">
        <v>9</v>
      </c>
      <c r="K75" s="5">
        <v>9.1531190046731279</v>
      </c>
      <c r="L75" s="5">
        <v>9.1531190046731279</v>
      </c>
      <c r="M75" s="5">
        <v>9.1531190046731279</v>
      </c>
      <c r="N75" s="5">
        <v>9.1531190046731279</v>
      </c>
      <c r="O75" s="4">
        <v>5</v>
      </c>
      <c r="P75" s="5">
        <v>1.4709323705412363</v>
      </c>
    </row>
    <row r="76" spans="9:16">
      <c r="I76" t="s">
        <v>39</v>
      </c>
      <c r="J76" s="5">
        <v>9</v>
      </c>
      <c r="K76" s="5">
        <v>9.1531190046731279</v>
      </c>
      <c r="L76" s="5">
        <v>9.1531190046731279</v>
      </c>
      <c r="M76" s="5">
        <v>9.1531190046731279</v>
      </c>
      <c r="N76" s="5">
        <v>9.1531190046731279</v>
      </c>
      <c r="O76" s="4">
        <v>4</v>
      </c>
      <c r="P76" s="5">
        <v>1.4494902077053584</v>
      </c>
    </row>
    <row r="77" spans="9:16">
      <c r="I77" t="s">
        <v>40</v>
      </c>
      <c r="J77" s="5">
        <v>8</v>
      </c>
      <c r="K77" s="5">
        <v>8.3841041262808087</v>
      </c>
      <c r="L77" s="5">
        <v>8.3841041262808087</v>
      </c>
      <c r="M77" s="5">
        <v>8.3841041262808087</v>
      </c>
      <c r="N77" s="5">
        <v>8.3841041262808087</v>
      </c>
      <c r="O77" s="4">
        <v>4</v>
      </c>
      <c r="P77" s="5">
        <v>2.6526112718754313</v>
      </c>
    </row>
    <row r="78" spans="9:16">
      <c r="I78" t="s">
        <v>41</v>
      </c>
      <c r="J78" s="5">
        <v>8</v>
      </c>
      <c r="K78" s="5">
        <v>8.4363958360081313</v>
      </c>
      <c r="L78" s="5">
        <v>8.4363958360081313</v>
      </c>
      <c r="M78" s="5">
        <v>8.4363958360081313</v>
      </c>
      <c r="N78" s="5">
        <v>8.4363958360081313</v>
      </c>
      <c r="O78" s="4">
        <v>3</v>
      </c>
      <c r="P78" s="5">
        <v>2.6526112718754313</v>
      </c>
    </row>
    <row r="79" spans="9:16">
      <c r="I79" t="s">
        <v>42</v>
      </c>
      <c r="J79" s="5">
        <v>3</v>
      </c>
      <c r="K79" s="5">
        <v>3.7740944913689654</v>
      </c>
      <c r="L79" s="5">
        <v>3.7740944913689654</v>
      </c>
      <c r="M79" s="5">
        <v>3.7740944913689654</v>
      </c>
      <c r="N79" s="5">
        <v>3.7740944913689654</v>
      </c>
      <c r="O79" s="4">
        <v>2</v>
      </c>
      <c r="P79" s="5">
        <v>0</v>
      </c>
    </row>
    <row r="80" spans="9:16">
      <c r="I80" t="s">
        <v>43</v>
      </c>
      <c r="J80" s="5">
        <v>3</v>
      </c>
      <c r="K80" s="5">
        <v>3.7740944913689654</v>
      </c>
      <c r="L80" s="5">
        <v>3.7740944913689654</v>
      </c>
      <c r="M80" s="5">
        <v>3.7740944913689654</v>
      </c>
      <c r="N80" s="5">
        <v>3.7740944913689654</v>
      </c>
      <c r="O80" s="4">
        <v>2</v>
      </c>
      <c r="P80" s="5">
        <v>0</v>
      </c>
    </row>
    <row r="81" spans="9:16">
      <c r="I81" t="s">
        <v>44</v>
      </c>
      <c r="J81" s="5">
        <v>2</v>
      </c>
      <c r="K81" s="5">
        <v>2.6421450866405651</v>
      </c>
      <c r="L81" s="5">
        <v>2.6421450866405651</v>
      </c>
      <c r="M81" s="5">
        <v>2.6421450866405651</v>
      </c>
      <c r="N81" s="5">
        <v>2.6421450866405651</v>
      </c>
      <c r="O81" s="4">
        <v>2</v>
      </c>
      <c r="P81" s="5">
        <v>0.75788893482155173</v>
      </c>
    </row>
    <row r="82" spans="9:16">
      <c r="I82" t="s">
        <v>45</v>
      </c>
      <c r="J82" s="5">
        <v>2</v>
      </c>
      <c r="K82" s="5">
        <v>2.6421450866405651</v>
      </c>
      <c r="L82" s="5">
        <v>2.6421450866405651</v>
      </c>
      <c r="M82" s="5">
        <v>2.6421450866405651</v>
      </c>
      <c r="N82" s="5">
        <v>2.6421450866405651</v>
      </c>
      <c r="O82" s="4">
        <v>2</v>
      </c>
      <c r="P82" s="5">
        <v>0.75788893482155173</v>
      </c>
    </row>
    <row r="83" spans="9:16">
      <c r="I83" t="s">
        <v>46</v>
      </c>
      <c r="J83" s="5">
        <v>0</v>
      </c>
      <c r="K83" s="5">
        <v>0.5712746133276897</v>
      </c>
      <c r="L83" s="5">
        <v>0.5712746133276897</v>
      </c>
      <c r="M83" s="5">
        <v>0.5712746133276897</v>
      </c>
      <c r="N83" s="5">
        <v>0.5712746133276897</v>
      </c>
      <c r="O83" s="4">
        <v>1</v>
      </c>
      <c r="P83" s="5">
        <v>0.37894446741077586</v>
      </c>
    </row>
    <row r="84" spans="9:16">
      <c r="I84" t="s">
        <v>47</v>
      </c>
      <c r="J84" s="5">
        <v>1</v>
      </c>
      <c r="K84" s="5">
        <v>0.5712746133276897</v>
      </c>
      <c r="L84" s="5">
        <v>0.5712746133276897</v>
      </c>
      <c r="M84" s="5">
        <v>0.5712746133276897</v>
      </c>
      <c r="N84" s="5">
        <v>0.5712746133276897</v>
      </c>
      <c r="O84" s="4">
        <v>1</v>
      </c>
      <c r="P84" s="5">
        <v>0.37894446741077586</v>
      </c>
    </row>
    <row r="85" spans="9:16">
      <c r="I85" t="s">
        <v>389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</row>
    <row r="86" spans="9:16">
      <c r="I86" t="s">
        <v>390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</row>
    <row r="87" spans="9:16">
      <c r="I87" t="s">
        <v>391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</row>
    <row r="88" spans="9:16">
      <c r="I88" t="s">
        <v>392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</row>
    <row r="89" spans="9:16">
      <c r="I89" t="s">
        <v>393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</row>
    <row r="90" spans="9:16">
      <c r="I90" t="s">
        <v>394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</row>
    <row r="91" spans="9:16">
      <c r="I91" t="s">
        <v>395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</row>
    <row r="92" spans="9:16">
      <c r="I92" t="s">
        <v>396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</row>
    <row r="93" spans="9:16">
      <c r="I93" t="s">
        <v>397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</row>
    <row r="94" spans="9:16">
      <c r="I94" t="s">
        <v>398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9:16">
      <c r="I95" t="s">
        <v>399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9:16">
      <c r="I96" t="s">
        <v>400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config</vt:lpstr>
      <vt:lpstr>Requisiti</vt:lpstr>
      <vt:lpstr>Turni</vt:lpstr>
      <vt:lpstr>Risorse</vt:lpstr>
      <vt:lpstr>storico</vt:lpstr>
      <vt:lpstr>settimana</vt:lpstr>
      <vt:lpstr>istru</vt:lpstr>
      <vt:lpstr>Foglio12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Wiliam De salvatore</dc:creator>
  <cp:lastModifiedBy>De Salvatore, Wiliam</cp:lastModifiedBy>
  <dcterms:created xsi:type="dcterms:W3CDTF">2015-06-05T18:19:34Z</dcterms:created>
  <dcterms:modified xsi:type="dcterms:W3CDTF">2025-11-19T13:50:09Z</dcterms:modified>
</cp:coreProperties>
</file>