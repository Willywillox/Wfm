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c54fc691ce3c675f/Desktop/new wfm/"/>
    </mc:Choice>
  </mc:AlternateContent>
  <xr:revisionPtr revIDLastSave="3" documentId="11_9A1029026E991A728E34B72C5DA5A877E126E76C" xr6:coauthVersionLast="47" xr6:coauthVersionMax="47" xr10:uidLastSave="{A233F38B-058B-439B-A0EF-0C3D2B540867}"/>
  <bookViews>
    <workbookView xWindow="-98" yWindow="-98" windowWidth="21795" windowHeight="12975" xr2:uid="{00000000-000D-0000-FFFF-FFFF00000000}"/>
  </bookViews>
  <sheets>
    <sheet name="Requisiti" sheetId="1" r:id="rId1"/>
    <sheet name="Turni" sheetId="2" r:id="rId2"/>
    <sheet name="Risorse" sheetId="3" r:id="rId3"/>
    <sheet name="storico" sheetId="4" r:id="rId4"/>
    <sheet name="settimana" sheetId="5" r:id="rId5"/>
    <sheet name="Foglio12" sheetId="6" state="hidden" r:id="rId6"/>
    <sheet name="config" sheetId="7" r:id="rId7"/>
  </sheets>
  <definedNames>
    <definedName name="solver_adj" localSheetId="0" hidden="1">Requisiti!$B$2:$B$89</definedName>
    <definedName name="solver_eng" localSheetId="0" hidden="1">1</definedName>
    <definedName name="solver_lhs1" localSheetId="0" hidden="1">Requisiti!$B$91</definedName>
    <definedName name="solver_lhs10" localSheetId="0" hidden="1">Requisiti!$B$100</definedName>
    <definedName name="solver_lhs11" localSheetId="0" hidden="1">Requisiti!$B$101</definedName>
    <definedName name="solver_lhs12" localSheetId="0" hidden="1">Requisiti!$B$102</definedName>
    <definedName name="solver_lhs13" localSheetId="0" hidden="1">Requisiti!$B$103</definedName>
    <definedName name="solver_lhs14" localSheetId="0" hidden="1">Requisiti!$B$104</definedName>
    <definedName name="solver_lhs15" localSheetId="0" hidden="1">Requisiti!$B$105</definedName>
    <definedName name="solver_lhs16" localSheetId="0" hidden="1">Requisiti!$B$106</definedName>
    <definedName name="solver_lhs17" localSheetId="0" hidden="1">Requisiti!$B$107</definedName>
    <definedName name="solver_lhs18" localSheetId="0" hidden="1">Requisiti!$B$108</definedName>
    <definedName name="solver_lhs19" localSheetId="0" hidden="1">Requisiti!$B$109</definedName>
    <definedName name="solver_lhs2" localSheetId="0" hidden="1">Requisiti!$B$92</definedName>
    <definedName name="solver_lhs20" localSheetId="0" hidden="1">Requisiti!$B$110</definedName>
    <definedName name="solver_lhs21" localSheetId="0" hidden="1">Requisiti!$B$111</definedName>
    <definedName name="solver_lhs22" localSheetId="0" hidden="1">Requisiti!$B$112</definedName>
    <definedName name="solver_lhs23" localSheetId="0" hidden="1">Requisiti!$B$113</definedName>
    <definedName name="solver_lhs24" localSheetId="0" hidden="1">Requisiti!$B$114</definedName>
    <definedName name="solver_lhs25" localSheetId="0" hidden="1">Requisiti!$B$115</definedName>
    <definedName name="solver_lhs26" localSheetId="0" hidden="1">Requisiti!$B$116</definedName>
    <definedName name="solver_lhs27" localSheetId="0" hidden="1">Requisiti!$B$117</definedName>
    <definedName name="solver_lhs28" localSheetId="0" hidden="1">Requisiti!$B$118</definedName>
    <definedName name="solver_lhs29" localSheetId="0" hidden="1">Requisiti!$B$119</definedName>
    <definedName name="solver_lhs3" localSheetId="0" hidden="1">Requisiti!$B$93</definedName>
    <definedName name="solver_lhs30" localSheetId="0" hidden="1">Requisiti!$B$120</definedName>
    <definedName name="solver_lhs31" localSheetId="0" hidden="1">Requisiti!$B$121</definedName>
    <definedName name="solver_lhs32" localSheetId="0" hidden="1">Requisiti!$B$122</definedName>
    <definedName name="solver_lhs33" localSheetId="0" hidden="1">Requisiti!$B$123</definedName>
    <definedName name="solver_lhs34" localSheetId="0" hidden="1">Requisiti!$B$124</definedName>
    <definedName name="solver_lhs35" localSheetId="0" hidden="1">Requisiti!$B$125</definedName>
    <definedName name="solver_lhs36" localSheetId="0" hidden="1">Requisiti!$B$126</definedName>
    <definedName name="solver_lhs37" localSheetId="0" hidden="1">Requisiti!$B$127</definedName>
    <definedName name="solver_lhs38" localSheetId="0" hidden="1">Requisiti!$B$128</definedName>
    <definedName name="solver_lhs39" localSheetId="0" hidden="1">Requisiti!$B$129</definedName>
    <definedName name="solver_lhs4" localSheetId="0" hidden="1">Requisiti!$B$94</definedName>
    <definedName name="solver_lhs40" localSheetId="0" hidden="1">Requisiti!$B$130</definedName>
    <definedName name="solver_lhs41" localSheetId="0" hidden="1">Requisiti!$B$131</definedName>
    <definedName name="solver_lhs42" localSheetId="0" hidden="1">Requisiti!$B$132</definedName>
    <definedName name="solver_lhs43" localSheetId="0" hidden="1">Requisiti!$B$133</definedName>
    <definedName name="solver_lhs44" localSheetId="0" hidden="1">Requisiti!$B$134</definedName>
    <definedName name="solver_lhs45" localSheetId="0" hidden="1">Requisiti!$B$135</definedName>
    <definedName name="solver_lhs46" localSheetId="0" hidden="1">Requisiti!$B$136</definedName>
    <definedName name="solver_lhs47" localSheetId="0" hidden="1">Requisiti!$B$137</definedName>
    <definedName name="solver_lhs48" localSheetId="0" hidden="1">Requisiti!$B$138</definedName>
    <definedName name="solver_lhs49" localSheetId="0" hidden="1">Requisiti!$B$2:$B$89</definedName>
    <definedName name="solver_lhs5" localSheetId="0" hidden="1">Requisiti!$B$95</definedName>
    <definedName name="solver_lhs6" localSheetId="0" hidden="1">Requisiti!$B$96</definedName>
    <definedName name="solver_lhs7" localSheetId="0" hidden="1">Requisiti!$B$97</definedName>
    <definedName name="solver_lhs8" localSheetId="0" hidden="1">Requisiti!$B$98</definedName>
    <definedName name="solver_lhs9" localSheetId="0" hidden="1">Requisiti!$B$99</definedName>
    <definedName name="solver_lin" localSheetId="0" hidden="1">1</definedName>
    <definedName name="solver_neg" localSheetId="0" hidden="1">1</definedName>
    <definedName name="solver_num" localSheetId="0" hidden="1">49</definedName>
    <definedName name="solver_opt" localSheetId="0" hidden="1">Requisiti!$D$90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3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Requisiti!$C$91</definedName>
    <definedName name="solver_rhs10" localSheetId="0" hidden="1">Requisiti!$C$100</definedName>
    <definedName name="solver_rhs11" localSheetId="0" hidden="1">Requisiti!$C$101</definedName>
    <definedName name="solver_rhs12" localSheetId="0" hidden="1">Requisiti!$C$102</definedName>
    <definedName name="solver_rhs13" localSheetId="0" hidden="1">Requisiti!$C$103</definedName>
    <definedName name="solver_rhs14" localSheetId="0" hidden="1">Requisiti!$C$104</definedName>
    <definedName name="solver_rhs15" localSheetId="0" hidden="1">Requisiti!$C$105</definedName>
    <definedName name="solver_rhs16" localSheetId="0" hidden="1">Requisiti!$C$106</definedName>
    <definedName name="solver_rhs17" localSheetId="0" hidden="1">Requisiti!$C$107</definedName>
    <definedName name="solver_rhs18" localSheetId="0" hidden="1">Requisiti!$C$108</definedName>
    <definedName name="solver_rhs19" localSheetId="0" hidden="1">Requisiti!$C$109</definedName>
    <definedName name="solver_rhs2" localSheetId="0" hidden="1">Requisiti!$C$92</definedName>
    <definedName name="solver_rhs20" localSheetId="0" hidden="1">Requisiti!$C$110</definedName>
    <definedName name="solver_rhs21" localSheetId="0" hidden="1">Requisiti!$C$111</definedName>
    <definedName name="solver_rhs22" localSheetId="0" hidden="1">Requisiti!$C$112</definedName>
    <definedName name="solver_rhs23" localSheetId="0" hidden="1">Requisiti!$C$113</definedName>
    <definedName name="solver_rhs24" localSheetId="0" hidden="1">Requisiti!$C$114</definedName>
    <definedName name="solver_rhs25" localSheetId="0" hidden="1">Requisiti!$C$115</definedName>
    <definedName name="solver_rhs26" localSheetId="0" hidden="1">Requisiti!$C$116</definedName>
    <definedName name="solver_rhs27" localSheetId="0" hidden="1">Requisiti!$C$117</definedName>
    <definedName name="solver_rhs28" localSheetId="0" hidden="1">Requisiti!$C$118</definedName>
    <definedName name="solver_rhs29" localSheetId="0" hidden="1">Requisiti!$C$119</definedName>
    <definedName name="solver_rhs3" localSheetId="0" hidden="1">Requisiti!$C$93</definedName>
    <definedName name="solver_rhs30" localSheetId="0" hidden="1">Requisiti!$C$120</definedName>
    <definedName name="solver_rhs31" localSheetId="0" hidden="1">Requisiti!$C$121</definedName>
    <definedName name="solver_rhs32" localSheetId="0" hidden="1">Requisiti!$C$122</definedName>
    <definedName name="solver_rhs33" localSheetId="0" hidden="1">Requisiti!$C$123</definedName>
    <definedName name="solver_rhs34" localSheetId="0" hidden="1">Requisiti!$C$124</definedName>
    <definedName name="solver_rhs35" localSheetId="0" hidden="1">Requisiti!$C$125</definedName>
    <definedName name="solver_rhs36" localSheetId="0" hidden="1">Requisiti!$C$126</definedName>
    <definedName name="solver_rhs37" localSheetId="0" hidden="1">Requisiti!$C$127</definedName>
    <definedName name="solver_rhs38" localSheetId="0" hidden="1">Requisiti!$C$128</definedName>
    <definedName name="solver_rhs39" localSheetId="0" hidden="1">Requisiti!$C$129</definedName>
    <definedName name="solver_rhs4" localSheetId="0" hidden="1">Requisiti!$C$94</definedName>
    <definedName name="solver_rhs40" localSheetId="0" hidden="1">Requisiti!$C$130</definedName>
    <definedName name="solver_rhs41" localSheetId="0" hidden="1">Requisiti!$C$131</definedName>
    <definedName name="solver_rhs42" localSheetId="0" hidden="1">Requisiti!$C$132</definedName>
    <definedName name="solver_rhs43" localSheetId="0" hidden="1">Requisiti!$C$133</definedName>
    <definedName name="solver_rhs44" localSheetId="0" hidden="1">Requisiti!$C$134</definedName>
    <definedName name="solver_rhs45" localSheetId="0" hidden="1">Requisiti!$C$135</definedName>
    <definedName name="solver_rhs46" localSheetId="0" hidden="1">Requisiti!$C$136</definedName>
    <definedName name="solver_rhs47" localSheetId="0" hidden="1">Requisiti!$C$137</definedName>
    <definedName name="solver_rhs48" localSheetId="0" hidden="1">Requisiti!$C$138</definedName>
    <definedName name="solver_rhs49" localSheetId="0" hidden="1">"intero"</definedName>
    <definedName name="solver_rhs5" localSheetId="0" hidden="1">Requisiti!$C$95</definedName>
    <definedName name="solver_rhs6" localSheetId="0" hidden="1">Requisiti!$C$96</definedName>
    <definedName name="solver_rhs7" localSheetId="0" hidden="1">Requisiti!$C$97</definedName>
    <definedName name="solver_rhs8" localSheetId="0" hidden="1">Requisiti!$C$98</definedName>
    <definedName name="solver_rhs9" localSheetId="0" hidden="1">Requisiti!$C$99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5" l="1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K22" i="4"/>
  <c r="J22" i="4"/>
  <c r="M22" i="4" s="1"/>
  <c r="I22" i="4"/>
  <c r="H22" i="4"/>
  <c r="G22" i="4"/>
  <c r="F22" i="4"/>
  <c r="G21" i="4"/>
  <c r="F21" i="4"/>
  <c r="I21" i="4" s="1"/>
  <c r="G20" i="4"/>
  <c r="F20" i="4"/>
  <c r="I20" i="4" s="1"/>
  <c r="I19" i="4"/>
  <c r="G19" i="4"/>
  <c r="F19" i="4"/>
  <c r="H19" i="4" s="1"/>
  <c r="G18" i="4"/>
  <c r="F18" i="4"/>
  <c r="I18" i="4" s="1"/>
  <c r="G17" i="4"/>
  <c r="F17" i="4"/>
  <c r="I17" i="4" s="1"/>
  <c r="I16" i="4"/>
  <c r="G16" i="4"/>
  <c r="F16" i="4"/>
  <c r="H16" i="4" s="1"/>
  <c r="I15" i="4"/>
  <c r="G15" i="4"/>
  <c r="F15" i="4"/>
  <c r="H15" i="4" s="1"/>
  <c r="H14" i="4"/>
  <c r="K14" i="4" s="1"/>
  <c r="G14" i="4"/>
  <c r="F14" i="4"/>
  <c r="I14" i="4" s="1"/>
  <c r="G13" i="4"/>
  <c r="F13" i="4"/>
  <c r="I13" i="4" s="1"/>
  <c r="I12" i="4"/>
  <c r="G12" i="4"/>
  <c r="F12" i="4"/>
  <c r="H12" i="4" s="1"/>
  <c r="I11" i="4"/>
  <c r="H11" i="4"/>
  <c r="K11" i="4" s="1"/>
  <c r="G11" i="4"/>
  <c r="F11" i="4"/>
  <c r="G10" i="4"/>
  <c r="F10" i="4"/>
  <c r="I10" i="4" s="1"/>
  <c r="G9" i="4"/>
  <c r="F9" i="4"/>
  <c r="I9" i="4" s="1"/>
  <c r="I8" i="4"/>
  <c r="H8" i="4"/>
  <c r="G8" i="4"/>
  <c r="F8" i="4"/>
  <c r="G7" i="4"/>
  <c r="F7" i="4"/>
  <c r="I7" i="4" s="1"/>
  <c r="G6" i="4"/>
  <c r="F6" i="4"/>
  <c r="I6" i="4" s="1"/>
  <c r="I5" i="4"/>
  <c r="G5" i="4"/>
  <c r="F5" i="4"/>
  <c r="H5" i="4" s="1"/>
  <c r="J4" i="4"/>
  <c r="M4" i="4" s="1"/>
  <c r="I4" i="4"/>
  <c r="H4" i="4"/>
  <c r="K4" i="4" s="1"/>
  <c r="G4" i="4"/>
  <c r="F4" i="4"/>
  <c r="H3" i="4"/>
  <c r="K3" i="4" s="1"/>
  <c r="G3" i="4"/>
  <c r="F3" i="4"/>
  <c r="I3" i="4" s="1"/>
  <c r="R1" i="4"/>
  <c r="P1" i="4"/>
  <c r="H21" i="5" a="1"/>
  <c r="D9" i="5" a="1"/>
  <c r="C21" i="5" a="1"/>
  <c r="G11" i="5" a="1"/>
  <c r="H15" i="5" a="1"/>
  <c r="B20" i="5" a="1"/>
  <c r="G20" i="5" a="1"/>
  <c r="B2" i="5" a="1"/>
  <c r="D15" i="5" a="1"/>
  <c r="F17" i="5" a="1"/>
  <c r="G17" i="5" a="1"/>
  <c r="B16" i="5" a="1"/>
  <c r="H9" i="5" a="1"/>
  <c r="E19" i="5" a="1"/>
  <c r="C8" i="5" a="1"/>
  <c r="C15" i="5" a="1"/>
  <c r="F18" i="5" a="1"/>
  <c r="H6" i="5" a="1"/>
  <c r="C7" i="5" a="1"/>
  <c r="G13" i="5" a="1"/>
  <c r="C5" i="5" a="1"/>
  <c r="D17" i="5" a="1"/>
  <c r="H12" i="5" a="1"/>
  <c r="H2" i="5" a="1"/>
  <c r="E3" i="5" a="1"/>
  <c r="H17" i="5" a="1"/>
  <c r="F2" i="5" a="1"/>
  <c r="G2" i="5" a="1"/>
  <c r="F15" i="5" a="1"/>
  <c r="H3" i="5" a="1"/>
  <c r="H11" i="5" a="1"/>
  <c r="G6" i="5" a="1"/>
  <c r="B6" i="5" a="1"/>
  <c r="G8" i="5" a="1"/>
  <c r="C4" i="5" a="1"/>
  <c r="C20" i="5" a="1"/>
  <c r="D20" i="5" a="1"/>
  <c r="D6" i="5" a="1"/>
  <c r="G15" i="5" a="1"/>
  <c r="H20" i="5" a="1"/>
  <c r="G7" i="5" a="1"/>
  <c r="C9" i="5" a="1"/>
  <c r="H16" i="5" a="1"/>
  <c r="H8" i="5" a="1"/>
  <c r="B11" i="5" a="1"/>
  <c r="E14" i="5" a="1"/>
  <c r="G21" i="5" a="1"/>
  <c r="D18" i="5" a="1"/>
  <c r="H10" i="5" a="1"/>
  <c r="F16" i="5" a="1"/>
  <c r="B14" i="5" a="1"/>
  <c r="G19" i="5" a="1"/>
  <c r="F21" i="5" a="1"/>
  <c r="C10" i="5" a="1"/>
  <c r="C6" i="5" a="1"/>
  <c r="F19" i="5" a="1"/>
  <c r="G18" i="5" a="1"/>
  <c r="C14" i="5" a="1"/>
  <c r="H7" i="5" a="1"/>
  <c r="B8" i="5" a="1"/>
  <c r="F6" i="5" a="1"/>
  <c r="D8" i="5" a="1"/>
  <c r="G16" i="5" a="1"/>
  <c r="D11" i="5" a="1"/>
  <c r="G12" i="5" a="1"/>
  <c r="E9" i="5" a="1"/>
  <c r="F12" i="5" a="1"/>
  <c r="B13" i="5" a="1"/>
  <c r="C12" i="5" a="1"/>
  <c r="H13" i="5" a="1"/>
  <c r="D4" i="5" a="1"/>
  <c r="F5" i="5" a="1"/>
  <c r="B17" i="5" a="1"/>
  <c r="E6" i="5" a="1"/>
  <c r="F9" i="5" a="1"/>
  <c r="F7" i="5" a="1"/>
  <c r="B21" i="5" a="1"/>
  <c r="G14" i="5" a="1"/>
  <c r="C2" i="5" a="1"/>
  <c r="D13" i="5" a="1"/>
  <c r="B4" i="5" a="1"/>
  <c r="D10" i="5" a="1"/>
  <c r="E5" i="5" a="1"/>
  <c r="G4" i="5" a="1"/>
  <c r="E15" i="5" a="1"/>
  <c r="D16" i="5" a="1"/>
  <c r="D12" i="5" a="1"/>
  <c r="E4" i="5" a="1"/>
  <c r="E7" i="5" a="1"/>
  <c r="H19" i="5" a="1"/>
  <c r="D2" i="5" a="1"/>
  <c r="G9" i="5" a="1"/>
  <c r="D7" i="5" a="1"/>
  <c r="B7" i="5" a="1"/>
  <c r="B9" i="5" a="1"/>
  <c r="B12" i="5" a="1"/>
  <c r="D3" i="5" a="1"/>
  <c r="E10" i="5" a="1"/>
  <c r="G10" i="5" a="1"/>
  <c r="E21" i="5" a="1"/>
  <c r="E17" i="5" a="1"/>
  <c r="F14" i="5" a="1"/>
  <c r="D5" i="5" a="1"/>
  <c r="E2" i="5" a="1"/>
  <c r="F4" i="5" a="1"/>
  <c r="F11" i="5" a="1"/>
  <c r="F3" i="5" a="1"/>
  <c r="E16" i="5" a="1"/>
  <c r="B18" i="5" a="1"/>
  <c r="B19" i="5" a="1"/>
  <c r="F20" i="5" a="1"/>
  <c r="F8" i="5" a="1"/>
  <c r="E11" i="5" a="1"/>
  <c r="C17" i="5" a="1"/>
  <c r="B15" i="5" a="1"/>
  <c r="D19" i="5" a="1"/>
  <c r="B10" i="5" a="1"/>
  <c r="H5" i="5" a="1"/>
  <c r="E20" i="5" a="1"/>
  <c r="B3" i="5" a="1"/>
  <c r="D14" i="5" a="1"/>
  <c r="E13" i="5" a="1"/>
  <c r="C19" i="5" a="1"/>
  <c r="C18" i="5" a="1"/>
  <c r="C16" i="5" a="1"/>
  <c r="D21" i="5" a="1"/>
  <c r="C13" i="5" a="1"/>
  <c r="H4" i="5" a="1"/>
  <c r="H14" i="5" a="1"/>
  <c r="H18" i="5" a="1"/>
  <c r="E12" i="5" a="1"/>
  <c r="C11" i="5" a="1"/>
  <c r="E18" i="5" a="1"/>
  <c r="F10" i="5" a="1"/>
  <c r="G5" i="5" a="1"/>
  <c r="F13" i="5" a="1"/>
  <c r="G3" i="5" a="1"/>
  <c r="B5" i="5" a="1"/>
  <c r="E8" i="5" a="1"/>
  <c r="C3" i="5" a="1"/>
  <c r="H12" i="5" l="1"/>
  <c r="H11" i="5"/>
  <c r="G2" i="5"/>
  <c r="H4" i="5"/>
  <c r="B8" i="5"/>
  <c r="C10" i="5"/>
  <c r="D12" i="5"/>
  <c r="E14" i="5"/>
  <c r="F16" i="5"/>
  <c r="G18" i="5"/>
  <c r="H20" i="5"/>
  <c r="D4" i="5"/>
  <c r="F8" i="5"/>
  <c r="B7" i="5"/>
  <c r="C9" i="5"/>
  <c r="D11" i="5"/>
  <c r="E13" i="5"/>
  <c r="F15" i="5"/>
  <c r="H19" i="5"/>
  <c r="C8" i="5"/>
  <c r="F14" i="5"/>
  <c r="B5" i="5"/>
  <c r="C7" i="5"/>
  <c r="D9" i="5"/>
  <c r="E11" i="5"/>
  <c r="F13" i="5"/>
  <c r="G15" i="5"/>
  <c r="H17" i="5"/>
  <c r="B21" i="5"/>
  <c r="H3" i="5"/>
  <c r="G17" i="5"/>
  <c r="H2" i="5"/>
  <c r="D10" i="5"/>
  <c r="E12" i="5"/>
  <c r="H18" i="5"/>
  <c r="B4" i="5"/>
  <c r="C6" i="5"/>
  <c r="D8" i="5"/>
  <c r="E10" i="5"/>
  <c r="F12" i="5"/>
  <c r="G14" i="5"/>
  <c r="H16" i="5"/>
  <c r="B20" i="5"/>
  <c r="B3" i="5"/>
  <c r="C5" i="5"/>
  <c r="D7" i="5"/>
  <c r="E9" i="5"/>
  <c r="F11" i="5"/>
  <c r="G13" i="5"/>
  <c r="H15" i="5"/>
  <c r="B19" i="5"/>
  <c r="C21" i="5"/>
  <c r="B6" i="5"/>
  <c r="G16" i="5"/>
  <c r="B2" i="5"/>
  <c r="C4" i="5"/>
  <c r="D6" i="5"/>
  <c r="E8" i="5"/>
  <c r="F10" i="5"/>
  <c r="G12" i="5"/>
  <c r="H14" i="5"/>
  <c r="B18" i="5"/>
  <c r="C20" i="5"/>
  <c r="C3" i="5"/>
  <c r="D5" i="5"/>
  <c r="E7" i="5"/>
  <c r="F9" i="5"/>
  <c r="G11" i="5"/>
  <c r="H13" i="5"/>
  <c r="B17" i="5"/>
  <c r="C19" i="5"/>
  <c r="D21" i="5"/>
  <c r="D20" i="5"/>
  <c r="E21" i="5"/>
  <c r="D2" i="5"/>
  <c r="E4" i="5"/>
  <c r="F6" i="5"/>
  <c r="G8" i="5"/>
  <c r="H10" i="5"/>
  <c r="B14" i="5"/>
  <c r="C16" i="5"/>
  <c r="D18" i="5"/>
  <c r="E20" i="5"/>
  <c r="E3" i="5"/>
  <c r="F5" i="5"/>
  <c r="G7" i="5"/>
  <c r="H9" i="5"/>
  <c r="B13" i="5"/>
  <c r="C15" i="5"/>
  <c r="D17" i="5"/>
  <c r="E19" i="5"/>
  <c r="F21" i="5"/>
  <c r="E6" i="5"/>
  <c r="E5" i="5"/>
  <c r="F7" i="5"/>
  <c r="G9" i="5"/>
  <c r="B15" i="5"/>
  <c r="C17" i="5"/>
  <c r="E2" i="5"/>
  <c r="F4" i="5"/>
  <c r="G6" i="5"/>
  <c r="H8" i="5"/>
  <c r="B12" i="5"/>
  <c r="C14" i="5"/>
  <c r="D16" i="5"/>
  <c r="E18" i="5"/>
  <c r="F20" i="5"/>
  <c r="F3" i="5"/>
  <c r="G5" i="5"/>
  <c r="H7" i="5"/>
  <c r="B11" i="5"/>
  <c r="C13" i="5"/>
  <c r="D15" i="5"/>
  <c r="E17" i="5"/>
  <c r="F19" i="5"/>
  <c r="G21" i="5"/>
  <c r="C2" i="5"/>
  <c r="G10" i="5"/>
  <c r="B16" i="5"/>
  <c r="C18" i="5"/>
  <c r="D3" i="5"/>
  <c r="D19" i="5"/>
  <c r="F2" i="5"/>
  <c r="G4" i="5"/>
  <c r="H6" i="5"/>
  <c r="B10" i="5"/>
  <c r="C12" i="5"/>
  <c r="D14" i="5"/>
  <c r="E16" i="5"/>
  <c r="F18" i="5"/>
  <c r="G20" i="5"/>
  <c r="G3" i="5"/>
  <c r="H5" i="5"/>
  <c r="B9" i="5"/>
  <c r="C11" i="5"/>
  <c r="D13" i="5"/>
  <c r="E15" i="5"/>
  <c r="F17" i="5"/>
  <c r="G19" i="5"/>
  <c r="H21" i="5"/>
  <c r="J15" i="4"/>
  <c r="K15" i="4"/>
  <c r="K16" i="4"/>
  <c r="J16" i="4"/>
  <c r="K5" i="4"/>
  <c r="J5" i="4"/>
  <c r="K12" i="4"/>
  <c r="J12" i="4"/>
  <c r="K19" i="4"/>
  <c r="J19" i="4"/>
  <c r="J3" i="4"/>
  <c r="L4" i="4"/>
  <c r="H13" i="4"/>
  <c r="J14" i="4"/>
  <c r="H7" i="4"/>
  <c r="H10" i="4"/>
  <c r="J11" i="4"/>
  <c r="H18" i="4"/>
  <c r="H21" i="4"/>
  <c r="H6" i="4"/>
  <c r="H9" i="4"/>
  <c r="H17" i="4"/>
  <c r="H20" i="4"/>
  <c r="L22" i="4"/>
  <c r="L16" i="4" l="1"/>
  <c r="M16" i="4"/>
  <c r="M15" i="4"/>
  <c r="L15" i="4"/>
  <c r="K10" i="4"/>
  <c r="J10" i="4"/>
  <c r="M14" i="4"/>
  <c r="L14" i="4"/>
  <c r="K13" i="4"/>
  <c r="J13" i="4"/>
  <c r="O4" i="4"/>
  <c r="N4" i="4"/>
  <c r="J6" i="4"/>
  <c r="K6" i="4"/>
  <c r="L19" i="4"/>
  <c r="M19" i="4"/>
  <c r="M12" i="4"/>
  <c r="L12" i="4"/>
  <c r="M11" i="4"/>
  <c r="L11" i="4"/>
  <c r="M3" i="4"/>
  <c r="L3" i="4"/>
  <c r="O22" i="4"/>
  <c r="N22" i="4"/>
  <c r="K21" i="4"/>
  <c r="J21" i="4"/>
  <c r="K7" i="4"/>
  <c r="J7" i="4"/>
  <c r="M5" i="4"/>
  <c r="L5" i="4"/>
  <c r="J20" i="4"/>
  <c r="K20" i="4"/>
  <c r="J17" i="4"/>
  <c r="K17" i="4"/>
  <c r="J9" i="4"/>
  <c r="K9" i="4"/>
  <c r="M20" i="4" l="1"/>
  <c r="L20" i="4"/>
  <c r="O5" i="4"/>
  <c r="N5" i="4"/>
  <c r="M6" i="4"/>
  <c r="L6" i="4"/>
  <c r="O14" i="4"/>
  <c r="N14" i="4"/>
  <c r="O19" i="4"/>
  <c r="N19" i="4"/>
  <c r="L7" i="4"/>
  <c r="M7" i="4"/>
  <c r="Q4" i="4"/>
  <c r="P4" i="4"/>
  <c r="L21" i="4"/>
  <c r="M21" i="4"/>
  <c r="M13" i="4"/>
  <c r="L13" i="4"/>
  <c r="Q22" i="4"/>
  <c r="P22" i="4"/>
  <c r="O3" i="4"/>
  <c r="N3" i="4"/>
  <c r="L10" i="4"/>
  <c r="M10" i="4"/>
  <c r="N11" i="4"/>
  <c r="O11" i="4"/>
  <c r="O15" i="4"/>
  <c r="N15" i="4"/>
  <c r="M9" i="4"/>
  <c r="L9" i="4"/>
  <c r="O12" i="4"/>
  <c r="N12" i="4"/>
  <c r="M17" i="4"/>
  <c r="L17" i="4"/>
  <c r="O16" i="4"/>
  <c r="N16" i="4"/>
  <c r="P12" i="4" l="1"/>
  <c r="Q12" i="4"/>
  <c r="O21" i="4"/>
  <c r="N21" i="4"/>
  <c r="N9" i="4"/>
  <c r="O9" i="4"/>
  <c r="R4" i="4"/>
  <c r="S4" i="4"/>
  <c r="Q15" i="4"/>
  <c r="P15" i="4"/>
  <c r="O7" i="4"/>
  <c r="N7" i="4"/>
  <c r="Q19" i="4"/>
  <c r="P19" i="4"/>
  <c r="Q11" i="4"/>
  <c r="P11" i="4"/>
  <c r="Q14" i="4"/>
  <c r="P14" i="4"/>
  <c r="O10" i="4"/>
  <c r="N10" i="4"/>
  <c r="O6" i="4"/>
  <c r="N6" i="4"/>
  <c r="Q16" i="4"/>
  <c r="P16" i="4"/>
  <c r="S22" i="4"/>
  <c r="R22" i="4"/>
  <c r="Q5" i="4"/>
  <c r="P5" i="4"/>
  <c r="Q3" i="4"/>
  <c r="P3" i="4"/>
  <c r="O17" i="4"/>
  <c r="N17" i="4"/>
  <c r="O13" i="4"/>
  <c r="N13" i="4"/>
  <c r="N20" i="4"/>
  <c r="O20" i="4"/>
  <c r="Q17" i="4" l="1"/>
  <c r="P17" i="4"/>
  <c r="R11" i="4"/>
  <c r="S11" i="4"/>
  <c r="S3" i="4"/>
  <c r="R3" i="4"/>
  <c r="S19" i="4"/>
  <c r="R19" i="4"/>
  <c r="S5" i="4"/>
  <c r="R5" i="4"/>
  <c r="P7" i="4"/>
  <c r="Q7" i="4"/>
  <c r="S15" i="4"/>
  <c r="R15" i="4"/>
  <c r="S16" i="4"/>
  <c r="R16" i="4"/>
  <c r="Q6" i="4"/>
  <c r="P6" i="4"/>
  <c r="Q9" i="4"/>
  <c r="P9" i="4"/>
  <c r="P10" i="4"/>
  <c r="Q10" i="4"/>
  <c r="P21" i="4"/>
  <c r="Q21" i="4"/>
  <c r="Q20" i="4"/>
  <c r="P20" i="4"/>
  <c r="Q13" i="4"/>
  <c r="P13" i="4"/>
  <c r="S14" i="4"/>
  <c r="R14" i="4"/>
  <c r="S12" i="4"/>
  <c r="R12" i="4"/>
  <c r="R13" i="4" l="1"/>
  <c r="S13" i="4"/>
  <c r="S7" i="4"/>
  <c r="R7" i="4"/>
  <c r="S20" i="4"/>
  <c r="R20" i="4"/>
  <c r="S21" i="4"/>
  <c r="R21" i="4"/>
  <c r="S10" i="4"/>
  <c r="R10" i="4"/>
  <c r="S9" i="4"/>
  <c r="R9" i="4"/>
  <c r="S6" i="4"/>
  <c r="R6" i="4"/>
  <c r="S17" i="4"/>
  <c r="R17" i="4"/>
</calcChain>
</file>

<file path=xl/sharedStrings.xml><?xml version="1.0" encoding="utf-8"?>
<sst xmlns="http://schemas.openxmlformats.org/spreadsheetml/2006/main" count="621" uniqueCount="329">
  <si>
    <t>fasce</t>
  </si>
  <si>
    <t>Lun</t>
  </si>
  <si>
    <t>Mar</t>
  </si>
  <si>
    <t>Mer</t>
  </si>
  <si>
    <t>Gio</t>
  </si>
  <si>
    <t>Ven</t>
  </si>
  <si>
    <t>Sab</t>
  </si>
  <si>
    <t>Dom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</si>
  <si>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</si>
  <si>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</si>
  <si>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</si>
  <si>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</si>
  <si>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</si>
  <si>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</si>
  <si>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</si>
  <si>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</si>
  <si>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</si>
  <si>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</si>
  <si>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</si>
  <si>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</si>
  <si>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</si>
  <si>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</si>
  <si>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</si>
  <si>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</si>
  <si>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</si>
  <si>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</si>
  <si>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</si>
  <si>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</si>
  <si>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</si>
  <si>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</si>
  <si>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</si>
  <si>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</si>
  <si>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</si>
  <si>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</si>
  <si>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</si>
  <si>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</si>
  <si>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</si>
  <si>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</si>
  <si>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</si>
  <si>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</si>
  <si>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</si>
  <si>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</si>
  <si>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</si>
  <si>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</si>
  <si>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</si>
  <si>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</si>
  <si>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</si>
  <si>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</si>
  <si>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</si>
  <si>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</si>
  <si>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</si>
  <si>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</si>
  <si>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</si>
  <si>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</si>
  <si>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</si>
  <si>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</si>
  <si>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</si>
  <si>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</si>
  <si>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</si>
  <si>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</si>
  <si>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</si>
  <si>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</si>
  <si>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</si>
  <si>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</si>
  <si>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</si>
  <si>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</si>
  <si>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</si>
  <si>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</si>
  <si>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</si>
  <si>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</si>
  <si>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</si>
  <si>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</si>
  <si>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</si>
  <si>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</si>
  <si>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</si>
  <si>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</si>
  <si>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</si>
  <si>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</si>
  <si>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</si>
  <si>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</si>
  <si>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</si>
  <si>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</si>
  <si>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</si>
  <si>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</si>
  <si>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</si>
  <si>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</si>
  <si>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</si>
  <si>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</si>
  <si>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</si>
  <si>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</si>
  <si>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</si>
  <si>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</si>
  <si>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</si>
  <si>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</si>
  <si>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</si>
  <si>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</si>
  <si>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</si>
  <si>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</si>
  <si>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</si>
  <si>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</si>
  <si>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</si>
  <si>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</si>
  <si>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</si>
  <si>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id turno</t>
  </si>
  <si>
    <t>entrata</t>
  </si>
  <si>
    <t>uscita</t>
  </si>
  <si>
    <t>durata</t>
  </si>
  <si>
    <t>a1</t>
  </si>
  <si>
    <t>08:30</t>
  </si>
  <si>
    <t>12:30</t>
  </si>
  <si>
    <t>a2</t>
  </si>
  <si>
    <t>14:30</t>
  </si>
  <si>
    <t>a3</t>
  </si>
  <si>
    <t>16:30</t>
  </si>
  <si>
    <t>a4</t>
  </si>
  <si>
    <t>08:45</t>
  </si>
  <si>
    <t>12:45</t>
  </si>
  <si>
    <t>a5</t>
  </si>
  <si>
    <t>14:45</t>
  </si>
  <si>
    <t>a6</t>
  </si>
  <si>
    <t>09:00</t>
  </si>
  <si>
    <t>13:00</t>
  </si>
  <si>
    <t>a7</t>
  </si>
  <si>
    <t>15:00</t>
  </si>
  <si>
    <t>a8</t>
  </si>
  <si>
    <t>17:00</t>
  </si>
  <si>
    <t>a9</t>
  </si>
  <si>
    <t>09:15</t>
  </si>
  <si>
    <t>13:15</t>
  </si>
  <si>
    <t>a10</t>
  </si>
  <si>
    <t>15:15</t>
  </si>
  <si>
    <t>a11</t>
  </si>
  <si>
    <t>09:30</t>
  </si>
  <si>
    <t>13:30</t>
  </si>
  <si>
    <t>a12</t>
  </si>
  <si>
    <t>15:30</t>
  </si>
  <si>
    <t>a13</t>
  </si>
  <si>
    <t>17:30</t>
  </si>
  <si>
    <t>a14</t>
  </si>
  <si>
    <t>09:45</t>
  </si>
  <si>
    <t>13:45</t>
  </si>
  <si>
    <t>a15</t>
  </si>
  <si>
    <t>15:45</t>
  </si>
  <si>
    <t>a16</t>
  </si>
  <si>
    <t>10:00</t>
  </si>
  <si>
    <t>14:00</t>
  </si>
  <si>
    <t>a17</t>
  </si>
  <si>
    <t>16:00</t>
  </si>
  <si>
    <t>a18</t>
  </si>
  <si>
    <t>18:00</t>
  </si>
  <si>
    <t>a19</t>
  </si>
  <si>
    <t>10:15</t>
  </si>
  <si>
    <t>14:15</t>
  </si>
  <si>
    <t>a20</t>
  </si>
  <si>
    <t>16:15</t>
  </si>
  <si>
    <t>a21</t>
  </si>
  <si>
    <t>10:30</t>
  </si>
  <si>
    <t>a22</t>
  </si>
  <si>
    <t>a23</t>
  </si>
  <si>
    <t>18:30</t>
  </si>
  <si>
    <t>a24</t>
  </si>
  <si>
    <t>10:45</t>
  </si>
  <si>
    <t>a25</t>
  </si>
  <si>
    <t>16:45</t>
  </si>
  <si>
    <t>a26</t>
  </si>
  <si>
    <t>11:00</t>
  </si>
  <si>
    <t>a27</t>
  </si>
  <si>
    <t>a28</t>
  </si>
  <si>
    <t>19:00</t>
  </si>
  <si>
    <t>a29</t>
  </si>
  <si>
    <t>11:15</t>
  </si>
  <si>
    <t>a30</t>
  </si>
  <si>
    <t>17:15</t>
  </si>
  <si>
    <t>a31</t>
  </si>
  <si>
    <t>11:30</t>
  </si>
  <si>
    <t>a32</t>
  </si>
  <si>
    <t>a33</t>
  </si>
  <si>
    <t>19:30</t>
  </si>
  <si>
    <t>a34</t>
  </si>
  <si>
    <t>11:45</t>
  </si>
  <si>
    <t>a35</t>
  </si>
  <si>
    <t>17:45</t>
  </si>
  <si>
    <t>a36</t>
  </si>
  <si>
    <t>12:00</t>
  </si>
  <si>
    <t>a37</t>
  </si>
  <si>
    <t>a38</t>
  </si>
  <si>
    <t>20:00</t>
  </si>
  <si>
    <t>a39</t>
  </si>
  <si>
    <t>12:15</t>
  </si>
  <si>
    <t>a40</t>
  </si>
  <si>
    <t>18:15</t>
  </si>
  <si>
    <t>a41</t>
  </si>
  <si>
    <t>a42</t>
  </si>
  <si>
    <t>a43</t>
  </si>
  <si>
    <t>20:30</t>
  </si>
  <si>
    <t>a44</t>
  </si>
  <si>
    <t>a45</t>
  </si>
  <si>
    <t>18:45</t>
  </si>
  <si>
    <t>a46</t>
  </si>
  <si>
    <t>a47</t>
  </si>
  <si>
    <t>a48</t>
  </si>
  <si>
    <t>21:00</t>
  </si>
  <si>
    <t>a49</t>
  </si>
  <si>
    <t>a50</t>
  </si>
  <si>
    <t>a51</t>
  </si>
  <si>
    <t>a52</t>
  </si>
  <si>
    <t>a53</t>
  </si>
  <si>
    <t>19:45</t>
  </si>
  <si>
    <t>a54</t>
  </si>
  <si>
    <t>a55</t>
  </si>
  <si>
    <t>a56</t>
  </si>
  <si>
    <t>a57</t>
  </si>
  <si>
    <t>a58</t>
  </si>
  <si>
    <t>a59</t>
  </si>
  <si>
    <t>14:40</t>
  </si>
  <si>
    <t>20:40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</si>
  <si>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</si>
  <si>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</si>
  <si>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</si>
  <si>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</si>
  <si>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</si>
  <si>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</si>
  <si>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</si>
  <si>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</si>
  <si>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</si>
  <si>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19:15</t>
  </si>
  <si>
    <t>a69</t>
  </si>
  <si>
    <t>20:15</t>
  </si>
  <si>
    <t>a70</t>
  </si>
  <si>
    <t>20:45</t>
  </si>
  <si>
    <t>a71</t>
  </si>
  <si>
    <t>a72</t>
  </si>
  <si>
    <t>14:20</t>
  </si>
  <si>
    <t>20:20</t>
  </si>
  <si>
    <t>a73</t>
  </si>
  <si>
    <t>13:20</t>
  </si>
  <si>
    <t>19:20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</si>
  <si>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</si>
  <si>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</si>
  <si>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</si>
  <si>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</si>
  <si>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</si>
  <si>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</si>
  <si>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</si>
  <si>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</si>
  <si>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</si>
  <si>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</si>
  <si>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</si>
  <si>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</si>
  <si>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</si>
  <si>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</si>
  <si>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</si>
  <si>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</si>
  <si>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</si>
  <si>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</si>
  <si>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</si>
  <si>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</si>
  <si>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</si>
  <si>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</si>
  <si>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</si>
  <si>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</si>
  <si>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</si>
  <si>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</si>
  <si>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</si>
  <si>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id dipendente</t>
  </si>
  <si>
    <t>Nome</t>
  </si>
  <si>
    <t>Ore</t>
  </si>
  <si>
    <t>Riposi</t>
  </si>
  <si>
    <t>Inizio fascia</t>
  </si>
  <si>
    <t>Fine fascia</t>
  </si>
  <si>
    <t>sabato</t>
  </si>
  <si>
    <t>domenica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</si>
  <si>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</si>
  <si>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</si>
  <si>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</si>
  <si>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</si>
  <si>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</si>
  <si>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</si>
  <si>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</si>
  <si>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</si>
  <si>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cf2</t>
  </si>
  <si>
    <t>Ferranti Margherita</t>
  </si>
  <si>
    <t>cf3</t>
  </si>
  <si>
    <t>Inserra Maria Rita</t>
  </si>
  <si>
    <t>cf6</t>
  </si>
  <si>
    <t>Petta Vanessa</t>
  </si>
  <si>
    <t>cf8</t>
  </si>
  <si>
    <t>Sole Valentina</t>
  </si>
  <si>
    <t>cf13</t>
  </si>
  <si>
    <t>Albanese Carmelino</t>
  </si>
  <si>
    <t>cf14</t>
  </si>
  <si>
    <t>Borsellino Antonino</t>
  </si>
  <si>
    <t>cf21</t>
  </si>
  <si>
    <t>Burgio Rosa</t>
  </si>
  <si>
    <t>cf23</t>
  </si>
  <si>
    <t>Cannella Davide</t>
  </si>
  <si>
    <t>cf26</t>
  </si>
  <si>
    <t>Cipolla Giuseppe</t>
  </si>
  <si>
    <t>cf30</t>
  </si>
  <si>
    <t>Consentino Dario</t>
  </si>
  <si>
    <t>cf34</t>
  </si>
  <si>
    <t>D'acquisto Armida</t>
  </si>
  <si>
    <t>cf36</t>
  </si>
  <si>
    <t>D'acquisto Rosa</t>
  </si>
  <si>
    <t>cf38</t>
  </si>
  <si>
    <t>Federico Filippo</t>
  </si>
  <si>
    <t>cf40</t>
  </si>
  <si>
    <t>Greco Loredana</t>
  </si>
  <si>
    <t>cf42</t>
  </si>
  <si>
    <t>Gullo Patrizia</t>
  </si>
  <si>
    <t>cf44</t>
  </si>
  <si>
    <t>Imparato Emanuele</t>
  </si>
  <si>
    <t>cf47</t>
  </si>
  <si>
    <t>Librino Rosa Maria</t>
  </si>
  <si>
    <t>cf49</t>
  </si>
  <si>
    <t>Lo Casto Anna</t>
  </si>
  <si>
    <t>cf52</t>
  </si>
  <si>
    <t>Mancuso Vito</t>
  </si>
  <si>
    <t>cf53</t>
  </si>
  <si>
    <t>Renna Barbara</t>
  </si>
  <si>
    <t>Lunedì</t>
  </si>
  <si>
    <t>Martedì</t>
  </si>
  <si>
    <t>Mercoledì</t>
  </si>
  <si>
    <t>Giovedì</t>
  </si>
  <si>
    <t>Venerdì</t>
  </si>
  <si>
    <t>Sabato</t>
  </si>
  <si>
    <t>Giorno</t>
  </si>
  <si>
    <t>OvercapPercent</t>
  </si>
  <si>
    <t>OvercapPenalty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</si>
</sst>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3">
    <xf numFmtId="0" fontId="0" fillId="0" borderId="0"/>
    <xf numFmtId="0" fontId="2" fillId="0" borderId="0"/>
    <xf numFmtId="43" fontId="4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2" applyNumberFormat="1" applyFont="1" applyAlignment="1">
      <alignment horizontal="center"/>
    </xf>
    <xf numFmtId="165" fontId="0" fillId="3" borderId="0" xfId="0" applyNumberFormat="1" applyFill="1"/>
    <xf numFmtId="0" fontId="0" fillId="0" borderId="0" xfId="0" applyAlignment="1">
      <alignment horizontal="center"/>
    </xf>
    <xf numFmtId="0" fontId="0" fillId="0" borderId="0" xfId="0"/>
  </cellXfs>
  <cellStyles count="3">
    <cellStyle name="Migliaia" xfId="2" builtinId="3"/>
    <cellStyle name="Normale" xfId="0" builtinId="0"/>
    <cellStyle name="Normale_GIUGNO" xfId="1" xr:uid="{00000000-0005-0000-0000-000001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128588</xdr:colOff>
          <xdr:row>8</xdr:row>
          <xdr:rowOff>52388</xdr:rowOff>
        </xdr:from>
        <xdr:to>
          <xdr:col>12</xdr:col>
          <xdr:colOff>280988</xdr:colOff>
          <xdr:row>16</xdr:row>
          <xdr:rowOff>14288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0</xdr:rowOff>
        </xdr:from>
        <xdr:to>
          <xdr:col>14</xdr:col>
          <xdr:colOff>100013</xdr:colOff>
          <xdr:row>3</xdr:row>
          <xdr:rowOff>52388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2"/>
  <dimension ref="A1:J96"/>
  <sheetViews>
    <sheetView tabSelected="1" topLeftCell="A70" zoomScale="70" zoomScaleNormal="70" workbookViewId="0">
      <selection activeCell="P32" sqref="P32"/>
    </sheetView>
  </sheetViews>
  <sheetFormatPr defaultRowHeight="14.25" x14ac:dyDescent="0.45"/>
  <cols>
    <col min="1" max="1" width="11.86328125" customWidth="1"/>
    <col min="2" max="8" width="9.1328125" style="4" customWidth="1"/>
  </cols>
  <sheetData>
    <row r="1" spans="1:10" x14ac:dyDescent="0.45">
      <c r="A1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0" x14ac:dyDescent="0.45">
      <c r="A2" t="s">
        <v>8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 x14ac:dyDescent="0.45">
      <c r="A3" t="s">
        <v>9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 x14ac:dyDescent="0.45">
      <c r="A4" t="s">
        <v>10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 x14ac:dyDescent="0.45">
      <c r="A5" t="s">
        <v>11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 x14ac:dyDescent="0.45">
      <c r="A6" t="s">
        <v>12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 x14ac:dyDescent="0.45">
      <c r="A7" t="s">
        <v>13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 x14ac:dyDescent="0.45">
      <c r="A8" t="s">
        <v>14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 x14ac:dyDescent="0.45">
      <c r="A9" t="s">
        <v>15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 x14ac:dyDescent="0.45">
      <c r="A10" t="s">
        <v>16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 x14ac:dyDescent="0.45">
      <c r="A11" t="s">
        <v>17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 x14ac:dyDescent="0.45">
      <c r="A12" t="s">
        <v>18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 x14ac:dyDescent="0.45">
      <c r="A13" t="s">
        <v>19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 x14ac:dyDescent="0.45">
      <c r="A14" t="s">
        <v>20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 x14ac:dyDescent="0.45">
      <c r="A15" t="s">
        <v>21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 x14ac:dyDescent="0.45">
      <c r="A16" t="s">
        <v>22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 x14ac:dyDescent="0.45">
      <c r="A17" t="s">
        <v>23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 x14ac:dyDescent="0.45">
      <c r="A18" t="s">
        <v>24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 x14ac:dyDescent="0.45">
      <c r="A19" t="s">
        <v>25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 x14ac:dyDescent="0.45">
      <c r="A20" t="s">
        <v>26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 x14ac:dyDescent="0.45">
      <c r="A21" t="s">
        <v>27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 x14ac:dyDescent="0.45">
      <c r="A22" t="s">
        <v>28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 x14ac:dyDescent="0.45">
      <c r="A23" t="s">
        <v>29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 x14ac:dyDescent="0.45">
      <c r="A24" t="s">
        <v>30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 x14ac:dyDescent="0.45">
      <c r="A25" t="s">
        <v>31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 x14ac:dyDescent="0.45">
      <c r="A26" t="s">
        <v>32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 x14ac:dyDescent="0.45">
      <c r="A27" t="s">
        <v>33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 x14ac:dyDescent="0.45">
      <c r="A28" t="s">
        <v>34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 x14ac:dyDescent="0.45">
      <c r="A29" t="s">
        <v>35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 x14ac:dyDescent="0.45">
      <c r="A30" t="s">
        <v>36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 x14ac:dyDescent="0.45">
      <c r="A31" t="s">
        <v>37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 x14ac:dyDescent="0.45">
      <c r="A32" t="s">
        <v>38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 x14ac:dyDescent="0.45">
      <c r="A33" t="s">
        <v>39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 x14ac:dyDescent="0.45">
      <c r="A34" t="s">
        <v>40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 x14ac:dyDescent="0.45">
      <c r="A35" t="s">
        <v>41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 x14ac:dyDescent="0.45">
      <c r="A36" t="s">
        <v>42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 x14ac:dyDescent="0.45">
      <c r="A37" t="s">
        <v>43</v>
      </c>
      <c r="B37" s="5">
        <v>2</v>
      </c>
      <c r="C37" s="5">
        <v>2</v>
      </c>
      <c r="D37" s="5">
        <v>2</v>
      </c>
      <c r="E37" s="5">
        <v>2</v>
      </c>
      <c r="F37" s="5">
        <v>2</v>
      </c>
      <c r="G37" s="5">
        <v>0</v>
      </c>
      <c r="H37" s="5">
        <v>0</v>
      </c>
      <c r="I37" s="6"/>
      <c r="J37" s="6"/>
    </row>
    <row r="38" spans="1:10" x14ac:dyDescent="0.45">
      <c r="A38" t="s">
        <v>44</v>
      </c>
      <c r="B38" s="5">
        <v>2</v>
      </c>
      <c r="C38" s="5">
        <v>2</v>
      </c>
      <c r="D38" s="5">
        <v>2</v>
      </c>
      <c r="E38" s="5">
        <v>2</v>
      </c>
      <c r="F38" s="5">
        <v>2</v>
      </c>
      <c r="G38" s="5">
        <v>0</v>
      </c>
      <c r="H38" s="5">
        <v>0</v>
      </c>
      <c r="I38" s="6"/>
      <c r="J38" s="6"/>
    </row>
    <row r="39" spans="1:10" x14ac:dyDescent="0.45">
      <c r="A39" t="s">
        <v>45</v>
      </c>
      <c r="B39" s="5">
        <v>3</v>
      </c>
      <c r="C39" s="5">
        <v>3</v>
      </c>
      <c r="D39" s="5">
        <v>3</v>
      </c>
      <c r="E39" s="5">
        <v>3</v>
      </c>
      <c r="F39" s="5">
        <v>3</v>
      </c>
      <c r="G39" s="5">
        <v>0</v>
      </c>
      <c r="H39" s="5">
        <v>0</v>
      </c>
      <c r="I39" s="6"/>
      <c r="J39" s="6"/>
    </row>
    <row r="40" spans="1:10" x14ac:dyDescent="0.45">
      <c r="A40" t="s">
        <v>46</v>
      </c>
      <c r="B40" s="5">
        <v>3</v>
      </c>
      <c r="C40" s="5">
        <v>3</v>
      </c>
      <c r="D40" s="5">
        <v>3</v>
      </c>
      <c r="E40" s="5">
        <v>3</v>
      </c>
      <c r="F40" s="5">
        <v>3</v>
      </c>
      <c r="G40" s="5">
        <v>0</v>
      </c>
      <c r="H40" s="5">
        <v>0</v>
      </c>
      <c r="I40" s="6"/>
      <c r="J40" s="6"/>
    </row>
    <row r="41" spans="1:10" x14ac:dyDescent="0.45">
      <c r="A41" t="s">
        <v>47</v>
      </c>
      <c r="B41" s="5">
        <v>7</v>
      </c>
      <c r="C41" s="5">
        <v>7</v>
      </c>
      <c r="D41" s="5">
        <v>7</v>
      </c>
      <c r="E41" s="5">
        <v>7</v>
      </c>
      <c r="F41" s="5">
        <v>7</v>
      </c>
      <c r="G41" s="5">
        <v>5</v>
      </c>
      <c r="H41" s="5">
        <v>0</v>
      </c>
      <c r="I41" s="6"/>
      <c r="J41" s="6"/>
    </row>
    <row r="42" spans="1:10" x14ac:dyDescent="0.45">
      <c r="A42" t="s">
        <v>48</v>
      </c>
      <c r="B42" s="5">
        <v>7</v>
      </c>
      <c r="C42" s="5">
        <v>7</v>
      </c>
      <c r="D42" s="5">
        <v>7</v>
      </c>
      <c r="E42" s="5">
        <v>7</v>
      </c>
      <c r="F42" s="5">
        <v>7</v>
      </c>
      <c r="G42" s="5">
        <v>5</v>
      </c>
      <c r="H42" s="5">
        <v>0</v>
      </c>
      <c r="I42" s="6"/>
      <c r="J42" s="6"/>
    </row>
    <row r="43" spans="1:10" x14ac:dyDescent="0.45">
      <c r="A43" t="s">
        <v>49</v>
      </c>
      <c r="B43" s="5">
        <v>4</v>
      </c>
      <c r="C43" s="5">
        <v>4</v>
      </c>
      <c r="D43" s="5">
        <v>4</v>
      </c>
      <c r="E43" s="5">
        <v>4</v>
      </c>
      <c r="F43" s="5">
        <v>4</v>
      </c>
      <c r="G43" s="5">
        <v>5</v>
      </c>
      <c r="H43" s="5">
        <v>0</v>
      </c>
      <c r="I43" s="6"/>
      <c r="J43" s="6"/>
    </row>
    <row r="44" spans="1:10" x14ac:dyDescent="0.45">
      <c r="A44" t="s">
        <v>50</v>
      </c>
      <c r="B44" s="5">
        <v>6</v>
      </c>
      <c r="C44" s="5">
        <v>5</v>
      </c>
      <c r="D44" s="5">
        <v>6</v>
      </c>
      <c r="E44" s="5">
        <v>6</v>
      </c>
      <c r="F44" s="5">
        <v>5</v>
      </c>
      <c r="G44" s="5">
        <v>5</v>
      </c>
      <c r="H44" s="5">
        <v>0</v>
      </c>
      <c r="I44" s="6"/>
      <c r="J44" s="6"/>
    </row>
    <row r="45" spans="1:10" x14ac:dyDescent="0.45">
      <c r="A45" t="s">
        <v>51</v>
      </c>
      <c r="B45" s="5">
        <v>10</v>
      </c>
      <c r="C45" s="5">
        <v>10</v>
      </c>
      <c r="D45" s="5">
        <v>9</v>
      </c>
      <c r="E45" s="5">
        <v>10</v>
      </c>
      <c r="F45" s="5">
        <v>10</v>
      </c>
      <c r="G45" s="5">
        <v>5</v>
      </c>
      <c r="H45" s="5">
        <v>0</v>
      </c>
      <c r="I45" s="6"/>
      <c r="J45" s="6"/>
    </row>
    <row r="46" spans="1:10" x14ac:dyDescent="0.45">
      <c r="A46" t="s">
        <v>52</v>
      </c>
      <c r="B46" s="5">
        <v>9</v>
      </c>
      <c r="C46" s="5">
        <v>11</v>
      </c>
      <c r="D46" s="5">
        <v>10</v>
      </c>
      <c r="E46" s="5">
        <v>9</v>
      </c>
      <c r="F46" s="5">
        <v>11</v>
      </c>
      <c r="G46" s="5">
        <v>5</v>
      </c>
      <c r="H46" s="5">
        <v>0</v>
      </c>
      <c r="I46" s="6"/>
      <c r="J46" s="6"/>
    </row>
    <row r="47" spans="1:10" x14ac:dyDescent="0.45">
      <c r="A47" t="s">
        <v>53</v>
      </c>
      <c r="B47" s="5">
        <v>8</v>
      </c>
      <c r="C47" s="5">
        <v>8</v>
      </c>
      <c r="D47" s="5">
        <v>9</v>
      </c>
      <c r="E47" s="5">
        <v>8</v>
      </c>
      <c r="F47" s="5">
        <v>8</v>
      </c>
      <c r="G47" s="5">
        <v>5</v>
      </c>
      <c r="H47" s="5">
        <v>0</v>
      </c>
      <c r="I47" s="6"/>
      <c r="J47" s="6"/>
    </row>
    <row r="48" spans="1:10" x14ac:dyDescent="0.45">
      <c r="A48" t="s">
        <v>54</v>
      </c>
      <c r="B48" s="5">
        <v>9</v>
      </c>
      <c r="C48" s="5">
        <v>8</v>
      </c>
      <c r="D48" s="5">
        <v>8</v>
      </c>
      <c r="E48" s="5">
        <v>9</v>
      </c>
      <c r="F48" s="5">
        <v>8</v>
      </c>
      <c r="G48" s="5">
        <v>5</v>
      </c>
      <c r="H48" s="5">
        <v>0</v>
      </c>
      <c r="I48" s="6"/>
      <c r="J48" s="6"/>
    </row>
    <row r="49" spans="1:10" x14ac:dyDescent="0.45">
      <c r="A49" t="s">
        <v>55</v>
      </c>
      <c r="B49" s="5">
        <v>8</v>
      </c>
      <c r="C49" s="5">
        <v>8</v>
      </c>
      <c r="D49" s="5">
        <v>8</v>
      </c>
      <c r="E49" s="5">
        <v>8</v>
      </c>
      <c r="F49" s="5">
        <v>8</v>
      </c>
      <c r="G49" s="5">
        <v>7</v>
      </c>
      <c r="H49" s="5">
        <v>0</v>
      </c>
      <c r="I49" s="6"/>
      <c r="J49" s="6"/>
    </row>
    <row r="50" spans="1:10" x14ac:dyDescent="0.45">
      <c r="A50" t="s">
        <v>56</v>
      </c>
      <c r="B50" s="5">
        <v>8</v>
      </c>
      <c r="C50" s="5">
        <v>8</v>
      </c>
      <c r="D50" s="5">
        <v>8</v>
      </c>
      <c r="E50" s="5">
        <v>8</v>
      </c>
      <c r="F50" s="5">
        <v>8</v>
      </c>
      <c r="G50" s="5">
        <v>7</v>
      </c>
      <c r="H50" s="5">
        <v>0</v>
      </c>
    </row>
    <row r="51" spans="1:10" x14ac:dyDescent="0.45">
      <c r="A51" t="s">
        <v>57</v>
      </c>
      <c r="B51" s="5">
        <v>8</v>
      </c>
      <c r="C51" s="5">
        <v>8</v>
      </c>
      <c r="D51" s="5">
        <v>8</v>
      </c>
      <c r="E51" s="5">
        <v>8</v>
      </c>
      <c r="F51" s="5">
        <v>8</v>
      </c>
      <c r="G51" s="5">
        <v>7</v>
      </c>
      <c r="H51" s="5">
        <v>0</v>
      </c>
    </row>
    <row r="52" spans="1:10" x14ac:dyDescent="0.45">
      <c r="A52" t="s">
        <v>58</v>
      </c>
      <c r="B52" s="5">
        <v>8</v>
      </c>
      <c r="C52" s="5">
        <v>8</v>
      </c>
      <c r="D52" s="5">
        <v>8</v>
      </c>
      <c r="E52" s="5">
        <v>8</v>
      </c>
      <c r="F52" s="5">
        <v>8</v>
      </c>
      <c r="G52" s="5">
        <v>7</v>
      </c>
      <c r="H52" s="5">
        <v>0</v>
      </c>
    </row>
    <row r="53" spans="1:10" x14ac:dyDescent="0.45">
      <c r="A53" t="s">
        <v>59</v>
      </c>
      <c r="B53" s="5">
        <v>14</v>
      </c>
      <c r="C53" s="5">
        <v>13</v>
      </c>
      <c r="D53" s="5">
        <v>14</v>
      </c>
      <c r="E53" s="5">
        <v>14</v>
      </c>
      <c r="F53" s="5">
        <v>13</v>
      </c>
      <c r="G53" s="5">
        <v>7</v>
      </c>
      <c r="H53" s="5">
        <v>0</v>
      </c>
    </row>
    <row r="54" spans="1:10" x14ac:dyDescent="0.45">
      <c r="A54" t="s">
        <v>60</v>
      </c>
      <c r="B54" s="5">
        <v>14</v>
      </c>
      <c r="C54" s="5">
        <v>14</v>
      </c>
      <c r="D54" s="5">
        <v>13</v>
      </c>
      <c r="E54" s="5">
        <v>14</v>
      </c>
      <c r="F54" s="5">
        <v>14</v>
      </c>
      <c r="G54" s="5">
        <v>7</v>
      </c>
      <c r="H54" s="5">
        <v>0</v>
      </c>
    </row>
    <row r="55" spans="1:10" x14ac:dyDescent="0.45">
      <c r="A55" t="s">
        <v>61</v>
      </c>
      <c r="B55" s="5">
        <v>14</v>
      </c>
      <c r="C55" s="5">
        <v>15</v>
      </c>
      <c r="D55" s="5">
        <v>15</v>
      </c>
      <c r="E55" s="5">
        <v>14</v>
      </c>
      <c r="F55" s="5">
        <v>15</v>
      </c>
      <c r="G55" s="5">
        <v>7</v>
      </c>
      <c r="H55" s="5">
        <v>0</v>
      </c>
    </row>
    <row r="56" spans="1:10" x14ac:dyDescent="0.45">
      <c r="A56" t="s">
        <v>62</v>
      </c>
      <c r="B56" s="5">
        <v>13</v>
      </c>
      <c r="C56" s="5">
        <v>13</v>
      </c>
      <c r="D56" s="5">
        <v>13</v>
      </c>
      <c r="E56" s="5">
        <v>13</v>
      </c>
      <c r="F56" s="5">
        <v>13</v>
      </c>
      <c r="G56" s="5">
        <v>7</v>
      </c>
      <c r="H56" s="5">
        <v>0</v>
      </c>
    </row>
    <row r="57" spans="1:10" x14ac:dyDescent="0.45">
      <c r="A57" t="s">
        <v>63</v>
      </c>
      <c r="B57" s="5">
        <v>7</v>
      </c>
      <c r="C57" s="5">
        <v>7</v>
      </c>
      <c r="D57" s="5">
        <v>7</v>
      </c>
      <c r="E57" s="5">
        <v>7</v>
      </c>
      <c r="F57" s="5">
        <v>7</v>
      </c>
      <c r="G57" s="5">
        <v>5</v>
      </c>
      <c r="H57" s="5">
        <v>0</v>
      </c>
    </row>
    <row r="58" spans="1:10" x14ac:dyDescent="0.45">
      <c r="A58" t="s">
        <v>64</v>
      </c>
      <c r="B58" s="5">
        <v>7</v>
      </c>
      <c r="C58" s="5">
        <v>7</v>
      </c>
      <c r="D58" s="5">
        <v>7</v>
      </c>
      <c r="E58" s="5">
        <v>7</v>
      </c>
      <c r="F58" s="5">
        <v>7</v>
      </c>
      <c r="G58" s="5">
        <v>5</v>
      </c>
      <c r="H58" s="5">
        <v>0</v>
      </c>
    </row>
    <row r="59" spans="1:10" x14ac:dyDescent="0.45">
      <c r="A59" t="s">
        <v>65</v>
      </c>
      <c r="B59" s="5">
        <v>3</v>
      </c>
      <c r="C59" s="5">
        <v>3</v>
      </c>
      <c r="D59" s="5">
        <v>3</v>
      </c>
      <c r="E59" s="5">
        <v>3</v>
      </c>
      <c r="F59" s="5">
        <v>3</v>
      </c>
      <c r="G59" s="5">
        <v>5</v>
      </c>
      <c r="H59" s="5">
        <v>0</v>
      </c>
    </row>
    <row r="60" spans="1:10" x14ac:dyDescent="0.45">
      <c r="A60" t="s">
        <v>66</v>
      </c>
      <c r="B60" s="5">
        <v>4</v>
      </c>
      <c r="C60" s="5">
        <v>3</v>
      </c>
      <c r="D60" s="5">
        <v>5</v>
      </c>
      <c r="E60" s="5">
        <v>4</v>
      </c>
      <c r="F60" s="5">
        <v>3</v>
      </c>
      <c r="G60" s="5">
        <v>5</v>
      </c>
      <c r="H60" s="5">
        <v>0</v>
      </c>
    </row>
    <row r="61" spans="1:10" x14ac:dyDescent="0.45">
      <c r="A61" t="s">
        <v>67</v>
      </c>
      <c r="B61" s="5">
        <v>9</v>
      </c>
      <c r="C61" s="5">
        <v>8</v>
      </c>
      <c r="D61" s="5">
        <v>7</v>
      </c>
      <c r="E61" s="5">
        <v>9</v>
      </c>
      <c r="F61" s="5">
        <v>8</v>
      </c>
      <c r="G61" s="5">
        <v>5</v>
      </c>
      <c r="H61" s="5">
        <v>0</v>
      </c>
    </row>
    <row r="62" spans="1:10" x14ac:dyDescent="0.45">
      <c r="A62" t="s">
        <v>68</v>
      </c>
      <c r="B62" s="5">
        <v>7</v>
      </c>
      <c r="C62" s="5">
        <v>9</v>
      </c>
      <c r="D62" s="5">
        <v>8</v>
      </c>
      <c r="E62" s="5">
        <v>7</v>
      </c>
      <c r="F62" s="5">
        <v>9</v>
      </c>
      <c r="G62" s="5">
        <v>5</v>
      </c>
      <c r="H62" s="5">
        <v>0</v>
      </c>
    </row>
    <row r="63" spans="1:10" x14ac:dyDescent="0.45">
      <c r="A63" t="s">
        <v>69</v>
      </c>
      <c r="B63" s="5">
        <v>5</v>
      </c>
      <c r="C63" s="5">
        <v>5</v>
      </c>
      <c r="D63" s="5">
        <v>5</v>
      </c>
      <c r="E63" s="5">
        <v>5</v>
      </c>
      <c r="F63" s="5">
        <v>5</v>
      </c>
      <c r="G63" s="5">
        <v>5</v>
      </c>
      <c r="H63" s="5">
        <v>0</v>
      </c>
    </row>
    <row r="64" spans="1:10" x14ac:dyDescent="0.45">
      <c r="A64" t="s">
        <v>70</v>
      </c>
      <c r="B64" s="5">
        <v>6</v>
      </c>
      <c r="C64" s="5">
        <v>5</v>
      </c>
      <c r="D64" s="5">
        <v>5</v>
      </c>
      <c r="E64" s="5">
        <v>6</v>
      </c>
      <c r="F64" s="5">
        <v>5</v>
      </c>
      <c r="G64" s="5">
        <v>5</v>
      </c>
      <c r="H64" s="5">
        <v>0</v>
      </c>
    </row>
    <row r="65" spans="1:8" x14ac:dyDescent="0.45">
      <c r="A65" t="s">
        <v>71</v>
      </c>
      <c r="B65" s="5">
        <v>6</v>
      </c>
      <c r="C65" s="5">
        <v>7</v>
      </c>
      <c r="D65" s="5">
        <v>6</v>
      </c>
      <c r="E65" s="5">
        <v>6</v>
      </c>
      <c r="F65" s="5">
        <v>7</v>
      </c>
      <c r="G65" s="5">
        <v>7</v>
      </c>
      <c r="H65" s="5">
        <v>0</v>
      </c>
    </row>
    <row r="66" spans="1:8" x14ac:dyDescent="0.45">
      <c r="A66" t="s">
        <v>72</v>
      </c>
      <c r="B66" s="5">
        <v>6</v>
      </c>
      <c r="C66" s="5">
        <v>8</v>
      </c>
      <c r="D66" s="5">
        <v>7</v>
      </c>
      <c r="E66" s="5">
        <v>6</v>
      </c>
      <c r="F66" s="5">
        <v>8</v>
      </c>
      <c r="G66" s="5">
        <v>7</v>
      </c>
      <c r="H66" s="5">
        <v>0</v>
      </c>
    </row>
    <row r="67" spans="1:8" x14ac:dyDescent="0.45">
      <c r="A67" t="s">
        <v>73</v>
      </c>
      <c r="B67" s="5">
        <v>6</v>
      </c>
      <c r="C67" s="5">
        <v>6</v>
      </c>
      <c r="D67" s="5">
        <v>8</v>
      </c>
      <c r="E67" s="5">
        <v>6</v>
      </c>
      <c r="F67" s="5">
        <v>6</v>
      </c>
      <c r="G67" s="5">
        <v>7</v>
      </c>
      <c r="H67" s="5">
        <v>0</v>
      </c>
    </row>
    <row r="68" spans="1:8" x14ac:dyDescent="0.45">
      <c r="A68" t="s">
        <v>74</v>
      </c>
      <c r="B68" s="5">
        <v>8</v>
      </c>
      <c r="C68" s="5">
        <v>7</v>
      </c>
      <c r="D68" s="5">
        <v>6</v>
      </c>
      <c r="E68" s="5">
        <v>8</v>
      </c>
      <c r="F68" s="5">
        <v>7</v>
      </c>
      <c r="G68" s="5">
        <v>7</v>
      </c>
      <c r="H68" s="5">
        <v>0</v>
      </c>
    </row>
    <row r="69" spans="1:8" x14ac:dyDescent="0.45">
      <c r="A69" t="s">
        <v>75</v>
      </c>
      <c r="B69" s="5">
        <v>3</v>
      </c>
      <c r="C69" s="5">
        <v>2</v>
      </c>
      <c r="D69" s="5">
        <v>5</v>
      </c>
      <c r="E69" s="5">
        <v>3</v>
      </c>
      <c r="F69" s="5">
        <v>2</v>
      </c>
      <c r="G69" s="5">
        <v>5</v>
      </c>
      <c r="H69" s="5">
        <v>0</v>
      </c>
    </row>
    <row r="70" spans="1:8" x14ac:dyDescent="0.45">
      <c r="A70" t="s">
        <v>76</v>
      </c>
      <c r="B70" s="5">
        <v>5</v>
      </c>
      <c r="C70" s="5">
        <v>3</v>
      </c>
      <c r="D70" s="5">
        <v>2</v>
      </c>
      <c r="E70" s="5">
        <v>5</v>
      </c>
      <c r="F70" s="5">
        <v>3</v>
      </c>
      <c r="G70" s="5">
        <v>5</v>
      </c>
      <c r="H70" s="5">
        <v>0</v>
      </c>
    </row>
    <row r="71" spans="1:8" x14ac:dyDescent="0.45">
      <c r="A71" t="s">
        <v>77</v>
      </c>
      <c r="B71" s="5">
        <v>2</v>
      </c>
      <c r="C71" s="5">
        <v>4</v>
      </c>
      <c r="D71" s="5">
        <v>3</v>
      </c>
      <c r="E71" s="5">
        <v>2</v>
      </c>
      <c r="F71" s="5">
        <v>4</v>
      </c>
      <c r="G71" s="5">
        <v>5</v>
      </c>
      <c r="H71" s="5">
        <v>0</v>
      </c>
    </row>
    <row r="72" spans="1:8" x14ac:dyDescent="0.45">
      <c r="A72" t="s">
        <v>78</v>
      </c>
      <c r="B72" s="5">
        <v>2</v>
      </c>
      <c r="C72" s="5">
        <v>2</v>
      </c>
      <c r="D72" s="5">
        <v>2</v>
      </c>
      <c r="E72" s="5">
        <v>2</v>
      </c>
      <c r="F72" s="5">
        <v>2</v>
      </c>
      <c r="G72" s="5">
        <v>5</v>
      </c>
      <c r="H72" s="5">
        <v>0</v>
      </c>
    </row>
    <row r="73" spans="1:8" x14ac:dyDescent="0.45">
      <c r="A73" t="s">
        <v>79</v>
      </c>
      <c r="B73" s="5">
        <v>3</v>
      </c>
      <c r="C73" s="5">
        <v>2</v>
      </c>
      <c r="D73" s="5">
        <v>2</v>
      </c>
      <c r="E73" s="5">
        <v>3</v>
      </c>
      <c r="F73" s="5">
        <v>2</v>
      </c>
      <c r="G73" s="5">
        <v>5</v>
      </c>
      <c r="H73" s="5">
        <v>0</v>
      </c>
    </row>
    <row r="74" spans="1:8" x14ac:dyDescent="0.45">
      <c r="A74" t="s">
        <v>80</v>
      </c>
      <c r="B74" s="5">
        <v>2</v>
      </c>
      <c r="C74" s="5">
        <v>3</v>
      </c>
      <c r="D74" s="5">
        <v>2</v>
      </c>
      <c r="E74" s="5">
        <v>2</v>
      </c>
      <c r="F74" s="5">
        <v>3</v>
      </c>
      <c r="G74" s="5">
        <v>5</v>
      </c>
      <c r="H74" s="5">
        <v>0</v>
      </c>
    </row>
    <row r="75" spans="1:8" x14ac:dyDescent="0.45">
      <c r="A75" t="s">
        <v>81</v>
      </c>
      <c r="B75" s="5">
        <v>3</v>
      </c>
      <c r="C75" s="5">
        <v>3</v>
      </c>
      <c r="D75" s="5">
        <v>4</v>
      </c>
      <c r="E75" s="5">
        <v>3</v>
      </c>
      <c r="F75" s="5">
        <v>3</v>
      </c>
      <c r="G75" s="5">
        <v>5</v>
      </c>
      <c r="H75" s="5">
        <v>0</v>
      </c>
    </row>
    <row r="76" spans="1:8" x14ac:dyDescent="0.45">
      <c r="A76" t="s">
        <v>82</v>
      </c>
      <c r="B76" s="5">
        <v>3</v>
      </c>
      <c r="C76" s="5">
        <v>3</v>
      </c>
      <c r="D76" s="5">
        <v>3</v>
      </c>
      <c r="E76" s="5">
        <v>3</v>
      </c>
      <c r="F76" s="5">
        <v>3</v>
      </c>
      <c r="G76" s="5">
        <v>5</v>
      </c>
      <c r="H76" s="5">
        <v>0</v>
      </c>
    </row>
    <row r="77" spans="1:8" x14ac:dyDescent="0.45">
      <c r="A77" t="s">
        <v>83</v>
      </c>
      <c r="B77" s="5">
        <v>3</v>
      </c>
      <c r="C77" s="5">
        <v>4</v>
      </c>
      <c r="D77" s="5">
        <v>3</v>
      </c>
      <c r="E77" s="5">
        <v>3</v>
      </c>
      <c r="F77" s="5">
        <v>4</v>
      </c>
      <c r="G77" s="5">
        <v>0</v>
      </c>
      <c r="H77" s="5">
        <v>0</v>
      </c>
    </row>
    <row r="78" spans="1:8" x14ac:dyDescent="0.45">
      <c r="A78" t="s">
        <v>84</v>
      </c>
      <c r="B78" s="5">
        <v>3</v>
      </c>
      <c r="C78" s="5">
        <v>3</v>
      </c>
      <c r="D78" s="5">
        <v>4</v>
      </c>
      <c r="E78" s="5">
        <v>3</v>
      </c>
      <c r="F78" s="5">
        <v>3</v>
      </c>
      <c r="G78" s="5">
        <v>0</v>
      </c>
      <c r="H78" s="5">
        <v>0</v>
      </c>
    </row>
    <row r="79" spans="1:8" x14ac:dyDescent="0.45">
      <c r="A79" t="s">
        <v>85</v>
      </c>
      <c r="B79" s="5">
        <v>5</v>
      </c>
      <c r="C79" s="5">
        <v>4</v>
      </c>
      <c r="D79" s="5">
        <v>4</v>
      </c>
      <c r="E79" s="5">
        <v>5</v>
      </c>
      <c r="F79" s="5">
        <v>4</v>
      </c>
      <c r="G79" s="5">
        <v>0</v>
      </c>
      <c r="H79" s="5">
        <v>0</v>
      </c>
    </row>
    <row r="80" spans="1:8" x14ac:dyDescent="0.45">
      <c r="A80" t="s">
        <v>86</v>
      </c>
      <c r="B80" s="5">
        <v>4</v>
      </c>
      <c r="C80" s="5">
        <v>4</v>
      </c>
      <c r="D80" s="5">
        <v>4</v>
      </c>
      <c r="E80" s="5">
        <v>4</v>
      </c>
      <c r="F80" s="5">
        <v>4</v>
      </c>
      <c r="G80" s="5">
        <v>0</v>
      </c>
      <c r="H80" s="5">
        <v>0</v>
      </c>
    </row>
    <row r="81" spans="1:8" x14ac:dyDescent="0.45">
      <c r="A81" t="s">
        <v>87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0</v>
      </c>
      <c r="H81" s="5">
        <v>0</v>
      </c>
    </row>
    <row r="82" spans="1:8" x14ac:dyDescent="0.45">
      <c r="A82" t="s">
        <v>88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0</v>
      </c>
      <c r="H82" s="5">
        <v>0</v>
      </c>
    </row>
    <row r="83" spans="1:8" x14ac:dyDescent="0.45">
      <c r="A83" t="s">
        <v>89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0</v>
      </c>
      <c r="H83" s="5">
        <v>0</v>
      </c>
    </row>
    <row r="84" spans="1:8" x14ac:dyDescent="0.45">
      <c r="A84" t="s">
        <v>90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0</v>
      </c>
      <c r="H84" s="5">
        <v>0</v>
      </c>
    </row>
    <row r="85" spans="1:8" x14ac:dyDescent="0.45">
      <c r="A85" t="s">
        <v>91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 x14ac:dyDescent="0.45">
      <c r="A86" t="s">
        <v>92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 x14ac:dyDescent="0.45">
      <c r="A87" t="s">
        <v>93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 x14ac:dyDescent="0.45">
      <c r="A88" t="s">
        <v>94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 x14ac:dyDescent="0.45">
      <c r="A89" t="s">
        <v>95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 x14ac:dyDescent="0.45">
      <c r="A90" t="s">
        <v>96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 x14ac:dyDescent="0.45">
      <c r="A91" t="s">
        <v>97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 x14ac:dyDescent="0.45">
      <c r="A92" t="s">
        <v>98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 x14ac:dyDescent="0.45">
      <c r="A93" t="s">
        <v>99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 x14ac:dyDescent="0.45">
      <c r="A94" t="s">
        <v>100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 x14ac:dyDescent="0.45">
      <c r="A95" t="s">
        <v>101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 x14ac:dyDescent="0.45">
      <c r="A96" t="s">
        <v>102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128588</xdr:colOff>
                    <xdr:row>8</xdr:row>
                    <xdr:rowOff>52388</xdr:rowOff>
                  </from>
                  <to>
                    <xdr:col>12</xdr:col>
                    <xdr:colOff>280988</xdr:colOff>
                    <xdr:row>16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142875</xdr:colOff>
                    <xdr:row>1</xdr:row>
                    <xdr:rowOff>0</xdr:rowOff>
                  </from>
                  <to>
                    <xdr:col>14</xdr:col>
                    <xdr:colOff>100013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D101"/>
  <sheetViews>
    <sheetView topLeftCell="A103" zoomScaleNormal="100" workbookViewId="0">
      <selection activeCell="D12" sqref="D12"/>
    </sheetView>
  </sheetViews>
  <sheetFormatPr defaultRowHeight="14.25" x14ac:dyDescent="0.45"/>
  <cols>
    <col min="4" max="4" width="14.1328125" customWidth="1"/>
  </cols>
  <sheetData>
    <row r="1" spans="1:4" x14ac:dyDescent="0.45">
      <c r="A1" t="s">
        <v>103</v>
      </c>
      <c r="B1" s="1" t="s">
        <v>104</v>
      </c>
      <c r="C1" s="1" t="s">
        <v>105</v>
      </c>
      <c r="D1" t="s">
        <v>106</v>
      </c>
    </row>
    <row r="2" spans="1:4" x14ac:dyDescent="0.45">
      <c r="A2" t="s">
        <v>107</v>
      </c>
      <c r="B2" s="2" t="s">
        <v>108</v>
      </c>
      <c r="C2" s="2" t="s">
        <v>109</v>
      </c>
      <c r="D2" s="3">
        <v>4</v>
      </c>
    </row>
    <row r="3" spans="1:4" x14ac:dyDescent="0.45">
      <c r="A3" t="s">
        <v>110</v>
      </c>
      <c r="B3" s="2" t="s">
        <v>108</v>
      </c>
      <c r="C3" s="2" t="s">
        <v>111</v>
      </c>
      <c r="D3" s="3">
        <v>6</v>
      </c>
    </row>
    <row r="4" spans="1:4" x14ac:dyDescent="0.45">
      <c r="A4" t="s">
        <v>112</v>
      </c>
      <c r="B4" s="2" t="s">
        <v>108</v>
      </c>
      <c r="C4" s="2" t="s">
        <v>113</v>
      </c>
      <c r="D4" s="3">
        <v>8</v>
      </c>
    </row>
    <row r="5" spans="1:4" x14ac:dyDescent="0.45">
      <c r="A5" t="s">
        <v>114</v>
      </c>
      <c r="B5" s="2" t="s">
        <v>115</v>
      </c>
      <c r="C5" s="2" t="s">
        <v>116</v>
      </c>
      <c r="D5" s="3">
        <v>4</v>
      </c>
    </row>
    <row r="6" spans="1:4" x14ac:dyDescent="0.45">
      <c r="A6" t="s">
        <v>117</v>
      </c>
      <c r="B6" s="2" t="s">
        <v>115</v>
      </c>
      <c r="C6" s="2" t="s">
        <v>118</v>
      </c>
      <c r="D6" s="3">
        <v>6</v>
      </c>
    </row>
    <row r="7" spans="1:4" x14ac:dyDescent="0.45">
      <c r="A7" t="s">
        <v>119</v>
      </c>
      <c r="B7" s="2" t="s">
        <v>120</v>
      </c>
      <c r="C7" s="2" t="s">
        <v>121</v>
      </c>
      <c r="D7" s="3">
        <v>4</v>
      </c>
    </row>
    <row r="8" spans="1:4" x14ac:dyDescent="0.45">
      <c r="A8" t="s">
        <v>122</v>
      </c>
      <c r="B8" s="2" t="s">
        <v>120</v>
      </c>
      <c r="C8" s="2" t="s">
        <v>123</v>
      </c>
      <c r="D8" s="3">
        <v>6</v>
      </c>
    </row>
    <row r="9" spans="1:4" x14ac:dyDescent="0.45">
      <c r="A9" t="s">
        <v>124</v>
      </c>
      <c r="B9" s="2" t="s">
        <v>120</v>
      </c>
      <c r="C9" s="2" t="s">
        <v>125</v>
      </c>
      <c r="D9" s="3">
        <v>8</v>
      </c>
    </row>
    <row r="10" spans="1:4" x14ac:dyDescent="0.45">
      <c r="A10" t="s">
        <v>126</v>
      </c>
      <c r="B10" s="2" t="s">
        <v>127</v>
      </c>
      <c r="C10" s="2" t="s">
        <v>128</v>
      </c>
      <c r="D10" s="3">
        <v>4</v>
      </c>
    </row>
    <row r="11" spans="1:4" x14ac:dyDescent="0.45">
      <c r="A11" t="s">
        <v>129</v>
      </c>
      <c r="B11" s="2" t="s">
        <v>127</v>
      </c>
      <c r="C11" s="2" t="s">
        <v>130</v>
      </c>
      <c r="D11" s="3">
        <v>6</v>
      </c>
    </row>
    <row r="12" spans="1:4" x14ac:dyDescent="0.45">
      <c r="A12" t="s">
        <v>131</v>
      </c>
      <c r="B12" s="2" t="s">
        <v>132</v>
      </c>
      <c r="C12" s="2" t="s">
        <v>133</v>
      </c>
      <c r="D12" s="3">
        <v>4</v>
      </c>
    </row>
    <row r="13" spans="1:4" x14ac:dyDescent="0.45">
      <c r="A13" t="s">
        <v>134</v>
      </c>
      <c r="B13" s="2" t="s">
        <v>132</v>
      </c>
      <c r="C13" s="2" t="s">
        <v>135</v>
      </c>
      <c r="D13" s="3">
        <v>6</v>
      </c>
    </row>
    <row r="14" spans="1:4" x14ac:dyDescent="0.45">
      <c r="A14" t="s">
        <v>136</v>
      </c>
      <c r="B14" s="2" t="s">
        <v>132</v>
      </c>
      <c r="C14" s="2" t="s">
        <v>137</v>
      </c>
      <c r="D14" s="3">
        <v>8</v>
      </c>
    </row>
    <row r="15" spans="1:4" x14ac:dyDescent="0.45">
      <c r="A15" t="s">
        <v>138</v>
      </c>
      <c r="B15" s="2" t="s">
        <v>139</v>
      </c>
      <c r="C15" s="2" t="s">
        <v>140</v>
      </c>
      <c r="D15" s="3">
        <v>4</v>
      </c>
    </row>
    <row r="16" spans="1:4" x14ac:dyDescent="0.45">
      <c r="A16" t="s">
        <v>141</v>
      </c>
      <c r="B16" s="2" t="s">
        <v>139</v>
      </c>
      <c r="C16" s="2" t="s">
        <v>142</v>
      </c>
      <c r="D16" s="3">
        <v>6</v>
      </c>
    </row>
    <row r="17" spans="1:4" x14ac:dyDescent="0.45">
      <c r="A17" t="s">
        <v>143</v>
      </c>
      <c r="B17" s="2" t="s">
        <v>144</v>
      </c>
      <c r="C17" s="2" t="s">
        <v>145</v>
      </c>
      <c r="D17" s="3">
        <v>4</v>
      </c>
    </row>
    <row r="18" spans="1:4" x14ac:dyDescent="0.45">
      <c r="A18" t="s">
        <v>146</v>
      </c>
      <c r="B18" s="2" t="s">
        <v>144</v>
      </c>
      <c r="C18" s="2" t="s">
        <v>147</v>
      </c>
      <c r="D18" s="3">
        <v>6</v>
      </c>
    </row>
    <row r="19" spans="1:4" x14ac:dyDescent="0.45">
      <c r="A19" t="s">
        <v>148</v>
      </c>
      <c r="B19" s="2" t="s">
        <v>144</v>
      </c>
      <c r="C19" s="2" t="s">
        <v>149</v>
      </c>
      <c r="D19" s="3">
        <v>8</v>
      </c>
    </row>
    <row r="20" spans="1:4" x14ac:dyDescent="0.45">
      <c r="A20" t="s">
        <v>150</v>
      </c>
      <c r="B20" s="2" t="s">
        <v>151</v>
      </c>
      <c r="C20" s="2" t="s">
        <v>152</v>
      </c>
      <c r="D20" s="3">
        <v>4</v>
      </c>
    </row>
    <row r="21" spans="1:4" x14ac:dyDescent="0.45">
      <c r="A21" t="s">
        <v>153</v>
      </c>
      <c r="B21" s="2" t="s">
        <v>151</v>
      </c>
      <c r="C21" s="2" t="s">
        <v>154</v>
      </c>
      <c r="D21" s="3">
        <v>6</v>
      </c>
    </row>
    <row r="22" spans="1:4" x14ac:dyDescent="0.45">
      <c r="A22" t="s">
        <v>155</v>
      </c>
      <c r="B22" s="2" t="s">
        <v>156</v>
      </c>
      <c r="C22" s="2" t="s">
        <v>111</v>
      </c>
      <c r="D22" s="3">
        <v>4</v>
      </c>
    </row>
    <row r="23" spans="1:4" x14ac:dyDescent="0.45">
      <c r="A23" t="s">
        <v>157</v>
      </c>
      <c r="B23" s="2" t="s">
        <v>156</v>
      </c>
      <c r="C23" s="2" t="s">
        <v>113</v>
      </c>
      <c r="D23" s="3">
        <v>6</v>
      </c>
    </row>
    <row r="24" spans="1:4" x14ac:dyDescent="0.45">
      <c r="A24" t="s">
        <v>158</v>
      </c>
      <c r="B24" s="2" t="s">
        <v>156</v>
      </c>
      <c r="C24" s="2" t="s">
        <v>159</v>
      </c>
      <c r="D24" s="3">
        <v>8</v>
      </c>
    </row>
    <row r="25" spans="1:4" x14ac:dyDescent="0.45">
      <c r="A25" t="s">
        <v>160</v>
      </c>
      <c r="B25" s="2" t="s">
        <v>161</v>
      </c>
      <c r="C25" s="2" t="s">
        <v>118</v>
      </c>
      <c r="D25" s="3">
        <v>4</v>
      </c>
    </row>
    <row r="26" spans="1:4" x14ac:dyDescent="0.45">
      <c r="A26" t="s">
        <v>162</v>
      </c>
      <c r="B26" s="2" t="s">
        <v>161</v>
      </c>
      <c r="C26" s="2" t="s">
        <v>163</v>
      </c>
      <c r="D26" s="3">
        <v>6</v>
      </c>
    </row>
    <row r="27" spans="1:4" x14ac:dyDescent="0.45">
      <c r="A27" t="s">
        <v>164</v>
      </c>
      <c r="B27" s="2" t="s">
        <v>165</v>
      </c>
      <c r="C27" s="2" t="s">
        <v>123</v>
      </c>
      <c r="D27" s="3">
        <v>4</v>
      </c>
    </row>
    <row r="28" spans="1:4" x14ac:dyDescent="0.45">
      <c r="A28" t="s">
        <v>166</v>
      </c>
      <c r="B28" s="2" t="s">
        <v>165</v>
      </c>
      <c r="C28" s="2" t="s">
        <v>125</v>
      </c>
      <c r="D28" s="3">
        <v>6</v>
      </c>
    </row>
    <row r="29" spans="1:4" x14ac:dyDescent="0.45">
      <c r="A29" t="s">
        <v>167</v>
      </c>
      <c r="B29" s="2" t="s">
        <v>165</v>
      </c>
      <c r="C29" s="2" t="s">
        <v>168</v>
      </c>
      <c r="D29" s="3">
        <v>8</v>
      </c>
    </row>
    <row r="30" spans="1:4" x14ac:dyDescent="0.45">
      <c r="A30" t="s">
        <v>169</v>
      </c>
      <c r="B30" s="2" t="s">
        <v>170</v>
      </c>
      <c r="C30" s="2" t="s">
        <v>130</v>
      </c>
      <c r="D30" s="3">
        <v>4</v>
      </c>
    </row>
    <row r="31" spans="1:4" x14ac:dyDescent="0.45">
      <c r="A31" t="s">
        <v>171</v>
      </c>
      <c r="B31" s="2" t="s">
        <v>170</v>
      </c>
      <c r="C31" s="2" t="s">
        <v>172</v>
      </c>
      <c r="D31" s="3">
        <v>6</v>
      </c>
    </row>
    <row r="32" spans="1:4" x14ac:dyDescent="0.45">
      <c r="A32" t="s">
        <v>173</v>
      </c>
      <c r="B32" s="2" t="s">
        <v>174</v>
      </c>
      <c r="C32" s="2" t="s">
        <v>135</v>
      </c>
      <c r="D32" s="3">
        <v>4</v>
      </c>
    </row>
    <row r="33" spans="1:4" x14ac:dyDescent="0.45">
      <c r="A33" t="s">
        <v>175</v>
      </c>
      <c r="B33" s="2" t="s">
        <v>174</v>
      </c>
      <c r="C33" s="2" t="s">
        <v>137</v>
      </c>
      <c r="D33" s="3">
        <v>6</v>
      </c>
    </row>
    <row r="34" spans="1:4" x14ac:dyDescent="0.45">
      <c r="A34" t="s">
        <v>176</v>
      </c>
      <c r="B34" s="2" t="s">
        <v>174</v>
      </c>
      <c r="C34" s="2" t="s">
        <v>177</v>
      </c>
      <c r="D34" s="3">
        <v>8</v>
      </c>
    </row>
    <row r="35" spans="1:4" x14ac:dyDescent="0.45">
      <c r="A35" t="s">
        <v>178</v>
      </c>
      <c r="B35" s="2" t="s">
        <v>179</v>
      </c>
      <c r="C35" s="2" t="s">
        <v>142</v>
      </c>
      <c r="D35" s="3">
        <v>4</v>
      </c>
    </row>
    <row r="36" spans="1:4" x14ac:dyDescent="0.45">
      <c r="A36" t="s">
        <v>180</v>
      </c>
      <c r="B36" s="2" t="s">
        <v>179</v>
      </c>
      <c r="C36" s="2" t="s">
        <v>181</v>
      </c>
      <c r="D36" s="3">
        <v>6</v>
      </c>
    </row>
    <row r="37" spans="1:4" x14ac:dyDescent="0.45">
      <c r="A37" t="s">
        <v>182</v>
      </c>
      <c r="B37" s="2" t="s">
        <v>183</v>
      </c>
      <c r="C37" s="2" t="s">
        <v>147</v>
      </c>
      <c r="D37" s="3">
        <v>4</v>
      </c>
    </row>
    <row r="38" spans="1:4" x14ac:dyDescent="0.45">
      <c r="A38" t="s">
        <v>184</v>
      </c>
      <c r="B38" s="2" t="s">
        <v>183</v>
      </c>
      <c r="C38" s="2" t="s">
        <v>149</v>
      </c>
      <c r="D38" s="3">
        <v>6</v>
      </c>
    </row>
    <row r="39" spans="1:4" x14ac:dyDescent="0.45">
      <c r="A39" t="s">
        <v>185</v>
      </c>
      <c r="B39" s="2" t="s">
        <v>183</v>
      </c>
      <c r="C39" s="2" t="s">
        <v>186</v>
      </c>
      <c r="D39" s="3">
        <v>8</v>
      </c>
    </row>
    <row r="40" spans="1:4" x14ac:dyDescent="0.45">
      <c r="A40" t="s">
        <v>187</v>
      </c>
      <c r="B40" s="2" t="s">
        <v>188</v>
      </c>
      <c r="C40" s="2" t="s">
        <v>154</v>
      </c>
      <c r="D40" s="3">
        <v>4</v>
      </c>
    </row>
    <row r="41" spans="1:4" x14ac:dyDescent="0.45">
      <c r="A41" t="s">
        <v>189</v>
      </c>
      <c r="B41" s="2" t="s">
        <v>188</v>
      </c>
      <c r="C41" s="2" t="s">
        <v>190</v>
      </c>
      <c r="D41" s="3">
        <v>6</v>
      </c>
    </row>
    <row r="42" spans="1:4" x14ac:dyDescent="0.45">
      <c r="A42" t="s">
        <v>191</v>
      </c>
      <c r="B42" s="2" t="s">
        <v>109</v>
      </c>
      <c r="C42" s="2" t="s">
        <v>113</v>
      </c>
      <c r="D42" s="3">
        <v>4</v>
      </c>
    </row>
    <row r="43" spans="1:4" x14ac:dyDescent="0.45">
      <c r="A43" t="s">
        <v>192</v>
      </c>
      <c r="B43" s="2" t="s">
        <v>109</v>
      </c>
      <c r="C43" s="2" t="s">
        <v>159</v>
      </c>
      <c r="D43" s="3">
        <v>6</v>
      </c>
    </row>
    <row r="44" spans="1:4" x14ac:dyDescent="0.45">
      <c r="A44" t="s">
        <v>193</v>
      </c>
      <c r="B44" s="2" t="s">
        <v>109</v>
      </c>
      <c r="C44" s="2" t="s">
        <v>194</v>
      </c>
      <c r="D44" s="3">
        <v>8</v>
      </c>
    </row>
    <row r="45" spans="1:4" x14ac:dyDescent="0.45">
      <c r="A45" t="s">
        <v>195</v>
      </c>
      <c r="B45" s="2" t="s">
        <v>116</v>
      </c>
      <c r="C45" s="2" t="s">
        <v>163</v>
      </c>
      <c r="D45" s="3">
        <v>4</v>
      </c>
    </row>
    <row r="46" spans="1:4" x14ac:dyDescent="0.45">
      <c r="A46" t="s">
        <v>196</v>
      </c>
      <c r="B46" s="2" t="s">
        <v>116</v>
      </c>
      <c r="C46" s="2" t="s">
        <v>197</v>
      </c>
      <c r="D46" s="3">
        <v>6</v>
      </c>
    </row>
    <row r="47" spans="1:4" x14ac:dyDescent="0.45">
      <c r="A47" t="s">
        <v>198</v>
      </c>
      <c r="B47" s="2" t="s">
        <v>121</v>
      </c>
      <c r="C47" s="2" t="s">
        <v>125</v>
      </c>
      <c r="D47" s="3">
        <v>4</v>
      </c>
    </row>
    <row r="48" spans="1:4" x14ac:dyDescent="0.45">
      <c r="A48" t="s">
        <v>199</v>
      </c>
      <c r="B48" s="2" t="s">
        <v>121</v>
      </c>
      <c r="C48" s="2" t="s">
        <v>168</v>
      </c>
      <c r="D48" s="3">
        <v>6</v>
      </c>
    </row>
    <row r="49" spans="1:4" x14ac:dyDescent="0.45">
      <c r="A49" t="s">
        <v>200</v>
      </c>
      <c r="B49" s="2" t="s">
        <v>121</v>
      </c>
      <c r="C49" s="2" t="s">
        <v>201</v>
      </c>
      <c r="D49" s="3">
        <v>8</v>
      </c>
    </row>
    <row r="50" spans="1:4" x14ac:dyDescent="0.45">
      <c r="A50" t="s">
        <v>202</v>
      </c>
      <c r="B50" s="2" t="s">
        <v>128</v>
      </c>
      <c r="C50" s="2" t="s">
        <v>172</v>
      </c>
      <c r="D50" s="3">
        <v>4</v>
      </c>
    </row>
    <row r="51" spans="1:4" x14ac:dyDescent="0.45">
      <c r="A51" t="s">
        <v>203</v>
      </c>
      <c r="B51" s="2" t="s">
        <v>133</v>
      </c>
      <c r="C51" s="2" t="s">
        <v>137</v>
      </c>
      <c r="D51" s="3">
        <v>4</v>
      </c>
    </row>
    <row r="52" spans="1:4" x14ac:dyDescent="0.45">
      <c r="A52" t="s">
        <v>204</v>
      </c>
      <c r="B52" s="2" t="s">
        <v>133</v>
      </c>
      <c r="C52" s="2" t="s">
        <v>177</v>
      </c>
      <c r="D52" s="3">
        <v>6</v>
      </c>
    </row>
    <row r="53" spans="1:4" x14ac:dyDescent="0.45">
      <c r="A53" t="s">
        <v>205</v>
      </c>
      <c r="B53" s="2" t="s">
        <v>140</v>
      </c>
      <c r="C53" s="2" t="s">
        <v>181</v>
      </c>
      <c r="D53" s="3">
        <v>4</v>
      </c>
    </row>
    <row r="54" spans="1:4" x14ac:dyDescent="0.45">
      <c r="A54" t="s">
        <v>206</v>
      </c>
      <c r="B54" s="2" t="s">
        <v>140</v>
      </c>
      <c r="C54" s="2" t="s">
        <v>207</v>
      </c>
      <c r="D54" s="3">
        <v>6</v>
      </c>
    </row>
    <row r="55" spans="1:4" x14ac:dyDescent="0.45">
      <c r="A55" t="s">
        <v>208</v>
      </c>
      <c r="B55" s="2" t="s">
        <v>145</v>
      </c>
      <c r="C55" s="2" t="s">
        <v>149</v>
      </c>
      <c r="D55" s="3">
        <v>4</v>
      </c>
    </row>
    <row r="56" spans="1:4" x14ac:dyDescent="0.45">
      <c r="A56" t="s">
        <v>209</v>
      </c>
      <c r="B56" s="2" t="s">
        <v>145</v>
      </c>
      <c r="C56" s="2" t="s">
        <v>186</v>
      </c>
      <c r="D56" s="3">
        <v>6</v>
      </c>
    </row>
    <row r="57" spans="1:4" x14ac:dyDescent="0.45">
      <c r="A57" t="s">
        <v>210</v>
      </c>
      <c r="B57" s="2" t="s">
        <v>152</v>
      </c>
      <c r="C57" s="2" t="s">
        <v>190</v>
      </c>
      <c r="D57" s="3">
        <v>4</v>
      </c>
    </row>
    <row r="58" spans="1:4" x14ac:dyDescent="0.45">
      <c r="A58" t="s">
        <v>211</v>
      </c>
      <c r="B58" s="2" t="s">
        <v>111</v>
      </c>
      <c r="C58" s="2" t="s">
        <v>159</v>
      </c>
      <c r="D58" s="3">
        <v>4</v>
      </c>
    </row>
    <row r="59" spans="1:4" x14ac:dyDescent="0.45">
      <c r="A59" t="s">
        <v>212</v>
      </c>
      <c r="B59" s="2" t="s">
        <v>111</v>
      </c>
      <c r="C59" s="2" t="s">
        <v>194</v>
      </c>
      <c r="D59" s="3">
        <v>6</v>
      </c>
    </row>
    <row r="60" spans="1:4" x14ac:dyDescent="0.45">
      <c r="A60" t="s">
        <v>213</v>
      </c>
      <c r="B60" s="2" t="s">
        <v>214</v>
      </c>
      <c r="C60" s="2" t="s">
        <v>215</v>
      </c>
      <c r="D60" s="3">
        <v>6</v>
      </c>
    </row>
    <row r="61" spans="1:4" x14ac:dyDescent="0.45">
      <c r="A61" t="s">
        <v>216</v>
      </c>
      <c r="B61" s="2" t="s">
        <v>118</v>
      </c>
      <c r="C61" s="2" t="s">
        <v>197</v>
      </c>
      <c r="D61" s="3">
        <v>4</v>
      </c>
    </row>
    <row r="62" spans="1:4" x14ac:dyDescent="0.45">
      <c r="A62" t="s">
        <v>217</v>
      </c>
      <c r="B62" s="2" t="s">
        <v>123</v>
      </c>
      <c r="C62" s="2" t="s">
        <v>168</v>
      </c>
      <c r="D62" s="3">
        <v>4</v>
      </c>
    </row>
    <row r="63" spans="1:4" x14ac:dyDescent="0.45">
      <c r="A63" t="s">
        <v>218</v>
      </c>
      <c r="B63" s="2" t="s">
        <v>123</v>
      </c>
      <c r="C63" s="2" t="s">
        <v>201</v>
      </c>
      <c r="D63" s="3">
        <v>6</v>
      </c>
    </row>
    <row r="64" spans="1:4" x14ac:dyDescent="0.45">
      <c r="A64" t="s">
        <v>219</v>
      </c>
      <c r="B64" s="2" t="s">
        <v>135</v>
      </c>
      <c r="C64" s="2" t="s">
        <v>177</v>
      </c>
      <c r="D64" s="3">
        <v>4</v>
      </c>
    </row>
    <row r="65" spans="1:4" x14ac:dyDescent="0.45">
      <c r="A65" t="s">
        <v>220</v>
      </c>
      <c r="B65" s="2" t="s">
        <v>142</v>
      </c>
      <c r="C65" s="2" t="s">
        <v>207</v>
      </c>
      <c r="D65" s="3">
        <v>4</v>
      </c>
    </row>
    <row r="66" spans="1:4" x14ac:dyDescent="0.45">
      <c r="A66" t="s">
        <v>221</v>
      </c>
      <c r="B66" s="2" t="s">
        <v>147</v>
      </c>
      <c r="C66" s="2" t="s">
        <v>186</v>
      </c>
      <c r="D66" s="3">
        <v>4</v>
      </c>
    </row>
    <row r="67" spans="1:4" x14ac:dyDescent="0.45">
      <c r="A67" t="s">
        <v>222</v>
      </c>
      <c r="B67" s="2" t="s">
        <v>113</v>
      </c>
      <c r="C67" s="2" t="s">
        <v>194</v>
      </c>
      <c r="D67" s="3">
        <v>4</v>
      </c>
    </row>
    <row r="68" spans="1:4" x14ac:dyDescent="0.45">
      <c r="A68" t="s">
        <v>223</v>
      </c>
      <c r="B68" s="2" t="s">
        <v>125</v>
      </c>
      <c r="C68" s="2" t="s">
        <v>201</v>
      </c>
      <c r="D68" s="3">
        <v>4</v>
      </c>
    </row>
    <row r="69" spans="1:4" x14ac:dyDescent="0.45">
      <c r="A69" t="s">
        <v>224</v>
      </c>
      <c r="B69" s="2" t="s">
        <v>130</v>
      </c>
      <c r="C69" s="2" t="s">
        <v>225</v>
      </c>
      <c r="D69" s="3">
        <v>4</v>
      </c>
    </row>
    <row r="70" spans="1:4" x14ac:dyDescent="0.45">
      <c r="A70" t="s">
        <v>226</v>
      </c>
      <c r="B70" s="2" t="s">
        <v>152</v>
      </c>
      <c r="C70" s="2" t="s">
        <v>227</v>
      </c>
      <c r="D70" s="3">
        <v>6</v>
      </c>
    </row>
    <row r="71" spans="1:4" x14ac:dyDescent="0.45">
      <c r="A71" t="s">
        <v>228</v>
      </c>
      <c r="B71" s="2" t="s">
        <v>118</v>
      </c>
      <c r="C71" s="2" t="s">
        <v>229</v>
      </c>
      <c r="D71" s="3">
        <v>6</v>
      </c>
    </row>
    <row r="72" spans="1:4" x14ac:dyDescent="0.45">
      <c r="A72" t="s">
        <v>230</v>
      </c>
      <c r="B72" s="2" t="s">
        <v>163</v>
      </c>
      <c r="C72" s="2" t="s">
        <v>229</v>
      </c>
      <c r="D72" s="3">
        <v>4</v>
      </c>
    </row>
    <row r="73" spans="1:4" x14ac:dyDescent="0.45">
      <c r="A73" t="s">
        <v>231</v>
      </c>
      <c r="B73" s="2" t="s">
        <v>232</v>
      </c>
      <c r="C73" s="2" t="s">
        <v>233</v>
      </c>
      <c r="D73" s="3">
        <v>6</v>
      </c>
    </row>
    <row r="74" spans="1:4" x14ac:dyDescent="0.45">
      <c r="A74" t="s">
        <v>234</v>
      </c>
      <c r="B74" s="2" t="s">
        <v>235</v>
      </c>
      <c r="C74" s="2" t="s">
        <v>236</v>
      </c>
      <c r="D74" s="3">
        <v>6</v>
      </c>
    </row>
    <row r="75" spans="1:4" x14ac:dyDescent="0.45">
      <c r="A75" t="s">
        <v>237</v>
      </c>
      <c r="B75" s="2" t="s">
        <v>128</v>
      </c>
      <c r="C75" s="2" t="s">
        <v>225</v>
      </c>
      <c r="D75" s="3">
        <v>6</v>
      </c>
    </row>
    <row r="76" spans="1:4" x14ac:dyDescent="0.45">
      <c r="A76" t="s">
        <v>238</v>
      </c>
      <c r="B76" s="2" t="s">
        <v>108</v>
      </c>
      <c r="C76" s="2" t="s">
        <v>109</v>
      </c>
      <c r="D76" s="3">
        <v>4</v>
      </c>
    </row>
    <row r="77" spans="1:4" x14ac:dyDescent="0.45">
      <c r="A77" t="s">
        <v>239</v>
      </c>
      <c r="B77" s="2" t="s">
        <v>154</v>
      </c>
      <c r="C77" s="2" t="s">
        <v>227</v>
      </c>
      <c r="D77" s="3">
        <v>4</v>
      </c>
    </row>
    <row r="78" spans="1:4" x14ac:dyDescent="0.45">
      <c r="A78" t="s">
        <v>240</v>
      </c>
      <c r="B78" s="2" t="s">
        <v>115</v>
      </c>
      <c r="C78" s="2" t="s">
        <v>163</v>
      </c>
      <c r="D78" s="3">
        <v>8</v>
      </c>
    </row>
    <row r="79" spans="1:4" x14ac:dyDescent="0.45">
      <c r="A79" t="s">
        <v>241</v>
      </c>
      <c r="B79" s="2" t="s">
        <v>127</v>
      </c>
      <c r="C79" s="2" t="s">
        <v>172</v>
      </c>
      <c r="D79" s="3">
        <v>8</v>
      </c>
    </row>
    <row r="80" spans="1:4" x14ac:dyDescent="0.45">
      <c r="A80" t="s">
        <v>242</v>
      </c>
      <c r="B80" s="2" t="s">
        <v>139</v>
      </c>
      <c r="C80" s="2" t="s">
        <v>181</v>
      </c>
      <c r="D80" s="3">
        <v>8</v>
      </c>
    </row>
    <row r="81" spans="1:4" x14ac:dyDescent="0.45">
      <c r="A81" t="s">
        <v>243</v>
      </c>
      <c r="B81" s="2" t="s">
        <v>151</v>
      </c>
      <c r="C81" s="2" t="s">
        <v>190</v>
      </c>
      <c r="D81" s="3">
        <v>8</v>
      </c>
    </row>
    <row r="82" spans="1:4" x14ac:dyDescent="0.45">
      <c r="A82" t="s">
        <v>244</v>
      </c>
      <c r="B82" s="2" t="s">
        <v>161</v>
      </c>
      <c r="C82" s="2" t="s">
        <v>197</v>
      </c>
      <c r="D82" s="3">
        <v>8</v>
      </c>
    </row>
    <row r="83" spans="1:4" x14ac:dyDescent="0.45">
      <c r="A83" t="s">
        <v>245</v>
      </c>
      <c r="B83" s="2" t="s">
        <v>170</v>
      </c>
      <c r="C83" s="2" t="s">
        <v>225</v>
      </c>
      <c r="D83" s="3">
        <v>8</v>
      </c>
    </row>
    <row r="84" spans="1:4" x14ac:dyDescent="0.45">
      <c r="A84" t="s">
        <v>246</v>
      </c>
      <c r="B84" s="2" t="s">
        <v>179</v>
      </c>
      <c r="C84" s="2" t="s">
        <v>207</v>
      </c>
      <c r="D84" s="3">
        <v>8</v>
      </c>
    </row>
    <row r="85" spans="1:4" x14ac:dyDescent="0.45">
      <c r="A85" t="s">
        <v>247</v>
      </c>
      <c r="B85" s="2" t="s">
        <v>188</v>
      </c>
      <c r="C85" s="2" t="s">
        <v>227</v>
      </c>
      <c r="D85" s="3">
        <v>8</v>
      </c>
    </row>
    <row r="86" spans="1:4" x14ac:dyDescent="0.45">
      <c r="A86" t="s">
        <v>248</v>
      </c>
      <c r="B86" s="2" t="s">
        <v>116</v>
      </c>
      <c r="C86" s="2" t="s">
        <v>229</v>
      </c>
      <c r="D86" s="3">
        <v>8</v>
      </c>
    </row>
    <row r="87" spans="1:4" x14ac:dyDescent="0.45">
      <c r="A87" t="s">
        <v>249</v>
      </c>
      <c r="B87" s="2" t="s">
        <v>108</v>
      </c>
      <c r="C87" s="2" t="s">
        <v>111</v>
      </c>
      <c r="D87" s="3">
        <v>6</v>
      </c>
    </row>
    <row r="88" spans="1:4" x14ac:dyDescent="0.45">
      <c r="A88" t="s">
        <v>250</v>
      </c>
      <c r="B88" s="2" t="s">
        <v>108</v>
      </c>
      <c r="C88" s="2" t="s">
        <v>113</v>
      </c>
      <c r="D88" s="3">
        <v>8</v>
      </c>
    </row>
    <row r="89" spans="1:4" x14ac:dyDescent="0.45">
      <c r="A89" t="s">
        <v>251</v>
      </c>
      <c r="B89" s="2" t="s">
        <v>120</v>
      </c>
      <c r="C89" s="2" t="s">
        <v>121</v>
      </c>
      <c r="D89" s="3">
        <v>4</v>
      </c>
    </row>
    <row r="90" spans="1:4" x14ac:dyDescent="0.45">
      <c r="A90" t="s">
        <v>252</v>
      </c>
      <c r="B90" s="2" t="s">
        <v>120</v>
      </c>
      <c r="C90" s="2" t="s">
        <v>123</v>
      </c>
      <c r="D90" s="3">
        <v>6</v>
      </c>
    </row>
    <row r="91" spans="1:4" x14ac:dyDescent="0.45">
      <c r="A91" t="s">
        <v>253</v>
      </c>
      <c r="B91" s="2" t="s">
        <v>120</v>
      </c>
      <c r="C91" s="2" t="s">
        <v>125</v>
      </c>
      <c r="D91" s="3">
        <v>8</v>
      </c>
    </row>
    <row r="92" spans="1:4" x14ac:dyDescent="0.45">
      <c r="A92" t="s">
        <v>254</v>
      </c>
      <c r="B92" s="2" t="s">
        <v>132</v>
      </c>
      <c r="C92" s="2" t="s">
        <v>137</v>
      </c>
      <c r="D92" s="3">
        <v>8</v>
      </c>
    </row>
    <row r="93" spans="1:4" x14ac:dyDescent="0.45">
      <c r="A93" t="s">
        <v>255</v>
      </c>
      <c r="B93" s="2" t="s">
        <v>144</v>
      </c>
      <c r="C93" s="2" t="s">
        <v>149</v>
      </c>
      <c r="D93" s="3">
        <v>8</v>
      </c>
    </row>
    <row r="94" spans="1:4" x14ac:dyDescent="0.45">
      <c r="A94" t="s">
        <v>256</v>
      </c>
      <c r="B94" s="2" t="s">
        <v>165</v>
      </c>
      <c r="C94" s="2" t="s">
        <v>125</v>
      </c>
      <c r="D94" s="3">
        <v>6</v>
      </c>
    </row>
    <row r="95" spans="1:4" x14ac:dyDescent="0.45">
      <c r="A95" t="s">
        <v>257</v>
      </c>
      <c r="B95" s="2" t="s">
        <v>165</v>
      </c>
      <c r="C95" s="2" t="s">
        <v>168</v>
      </c>
      <c r="D95" s="3">
        <v>8</v>
      </c>
    </row>
    <row r="96" spans="1:4" x14ac:dyDescent="0.45">
      <c r="A96" t="s">
        <v>258</v>
      </c>
      <c r="B96" s="2" t="s">
        <v>174</v>
      </c>
      <c r="C96" s="2" t="s">
        <v>177</v>
      </c>
      <c r="D96" s="3">
        <v>8</v>
      </c>
    </row>
    <row r="97" spans="1:4" x14ac:dyDescent="0.45">
      <c r="A97" t="s">
        <v>259</v>
      </c>
      <c r="B97" s="2" t="s">
        <v>183</v>
      </c>
      <c r="C97" s="2" t="s">
        <v>186</v>
      </c>
      <c r="D97" s="3">
        <v>8</v>
      </c>
    </row>
    <row r="98" spans="1:4" x14ac:dyDescent="0.45">
      <c r="A98" t="s">
        <v>260</v>
      </c>
      <c r="B98" s="2" t="s">
        <v>109</v>
      </c>
      <c r="C98" s="2" t="s">
        <v>194</v>
      </c>
      <c r="D98" s="3">
        <v>8</v>
      </c>
    </row>
    <row r="99" spans="1:4" x14ac:dyDescent="0.45">
      <c r="A99" t="s">
        <v>261</v>
      </c>
      <c r="B99" s="2" t="s">
        <v>121</v>
      </c>
      <c r="C99" s="2" t="s">
        <v>201</v>
      </c>
      <c r="D99" s="3">
        <v>8</v>
      </c>
    </row>
    <row r="100" spans="1:4" x14ac:dyDescent="0.45">
      <c r="A100" t="s">
        <v>262</v>
      </c>
      <c r="B100" s="2" t="s">
        <v>145</v>
      </c>
      <c r="C100" s="2" t="s">
        <v>186</v>
      </c>
      <c r="D100" s="3">
        <v>6</v>
      </c>
    </row>
    <row r="101" spans="1:4" x14ac:dyDescent="0.45">
      <c r="A101" t="s">
        <v>263</v>
      </c>
      <c r="B101" s="2" t="s">
        <v>179</v>
      </c>
      <c r="C101" s="2" t="s">
        <v>207</v>
      </c>
      <c r="D101" s="3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P144"/>
  <sheetViews>
    <sheetView zoomScale="70" zoomScaleNormal="70" workbookViewId="0">
      <selection activeCell="J33" sqref="J33"/>
    </sheetView>
  </sheetViews>
  <sheetFormatPr defaultRowHeight="14.25" x14ac:dyDescent="0.45"/>
  <cols>
    <col min="1" max="1" width="20.1328125" bestFit="1" customWidth="1"/>
    <col min="2" max="2" width="33.86328125" bestFit="1" customWidth="1"/>
    <col min="5" max="6" width="8.73046875" style="7" customWidth="1"/>
    <col min="9" max="9" width="6.265625" style="4" bestFit="1" customWidth="1"/>
    <col min="10" max="11" width="7" style="4" bestFit="1" customWidth="1"/>
    <col min="12" max="12" width="6.1328125" style="4" bestFit="1" customWidth="1"/>
    <col min="13" max="14" width="6.59765625" style="4" bestFit="1" customWidth="1"/>
    <col min="15" max="15" width="7.3984375" style="4" bestFit="1" customWidth="1"/>
    <col min="16" max="16" width="8.265625" style="4" bestFit="1" customWidth="1"/>
    <col min="18" max="18" width="10.73046875" customWidth="1"/>
  </cols>
  <sheetData>
    <row r="1" spans="1:16" x14ac:dyDescent="0.45">
      <c r="A1" t="s">
        <v>264</v>
      </c>
      <c r="B1" t="s">
        <v>265</v>
      </c>
      <c r="C1" t="s">
        <v>266</v>
      </c>
      <c r="D1" t="s">
        <v>267</v>
      </c>
      <c r="E1" s="7" t="s">
        <v>268</v>
      </c>
      <c r="F1" s="7" t="s">
        <v>269</v>
      </c>
      <c r="G1" t="s">
        <v>270</v>
      </c>
      <c r="H1" t="s">
        <v>271</v>
      </c>
      <c r="I1" s="4" t="s">
        <v>272</v>
      </c>
      <c r="J1" s="4" t="s">
        <v>273</v>
      </c>
      <c r="K1" s="4" t="s">
        <v>274</v>
      </c>
      <c r="L1" s="4" t="s">
        <v>275</v>
      </c>
      <c r="M1" s="4" t="s">
        <v>276</v>
      </c>
      <c r="N1" s="4" t="s">
        <v>277</v>
      </c>
      <c r="O1" s="4" t="s">
        <v>278</v>
      </c>
      <c r="P1" s="4" t="s">
        <v>279</v>
      </c>
    </row>
    <row r="2" spans="1:16" x14ac:dyDescent="0.45">
      <c r="A2" t="s">
        <v>280</v>
      </c>
      <c r="B2" t="s">
        <v>281</v>
      </c>
      <c r="C2">
        <v>4</v>
      </c>
      <c r="D2">
        <v>2</v>
      </c>
      <c r="E2" s="7">
        <v>0.625</v>
      </c>
      <c r="F2" s="7">
        <v>0.875</v>
      </c>
      <c r="G2" s="6"/>
      <c r="H2" s="8"/>
    </row>
    <row r="3" spans="1:16" x14ac:dyDescent="0.45">
      <c r="A3" t="s">
        <v>282</v>
      </c>
      <c r="B3" t="s">
        <v>283</v>
      </c>
      <c r="C3">
        <v>4</v>
      </c>
      <c r="D3">
        <v>2</v>
      </c>
      <c r="E3" s="7">
        <v>0.625</v>
      </c>
      <c r="F3" s="7">
        <v>0.875</v>
      </c>
      <c r="G3" s="6"/>
      <c r="H3" s="6"/>
    </row>
    <row r="4" spans="1:16" x14ac:dyDescent="0.45">
      <c r="A4" t="s">
        <v>284</v>
      </c>
      <c r="B4" t="s">
        <v>285</v>
      </c>
      <c r="C4">
        <v>4</v>
      </c>
      <c r="D4">
        <v>2</v>
      </c>
      <c r="E4" s="7">
        <v>0.375</v>
      </c>
      <c r="F4" s="7">
        <v>0.625</v>
      </c>
      <c r="G4" s="6"/>
      <c r="H4" s="6"/>
    </row>
    <row r="5" spans="1:16" x14ac:dyDescent="0.45">
      <c r="A5" t="s">
        <v>286</v>
      </c>
      <c r="B5" t="s">
        <v>287</v>
      </c>
      <c r="C5">
        <v>4</v>
      </c>
      <c r="D5">
        <v>2</v>
      </c>
      <c r="E5" s="7">
        <v>0.375</v>
      </c>
      <c r="F5" s="7">
        <v>0.625</v>
      </c>
      <c r="G5" s="6"/>
      <c r="H5" s="6"/>
    </row>
    <row r="6" spans="1:16" x14ac:dyDescent="0.45">
      <c r="A6" t="s">
        <v>288</v>
      </c>
      <c r="B6" t="s">
        <v>289</v>
      </c>
      <c r="C6">
        <v>4</v>
      </c>
      <c r="D6">
        <v>2</v>
      </c>
      <c r="E6" s="7">
        <v>0.375</v>
      </c>
      <c r="F6" s="7">
        <v>0.625</v>
      </c>
      <c r="G6" s="6"/>
      <c r="H6" s="6"/>
    </row>
    <row r="7" spans="1:16" x14ac:dyDescent="0.45">
      <c r="A7" t="s">
        <v>290</v>
      </c>
      <c r="B7" t="s">
        <v>291</v>
      </c>
      <c r="C7">
        <v>4</v>
      </c>
      <c r="D7">
        <v>2</v>
      </c>
      <c r="E7" s="7">
        <v>0.66666666666666663</v>
      </c>
      <c r="F7" s="7">
        <v>0.83333333333333337</v>
      </c>
      <c r="G7" s="6"/>
      <c r="H7" s="6"/>
    </row>
    <row r="8" spans="1:16" x14ac:dyDescent="0.45">
      <c r="A8" t="s">
        <v>292</v>
      </c>
      <c r="B8" t="s">
        <v>293</v>
      </c>
      <c r="C8">
        <v>4</v>
      </c>
      <c r="D8">
        <v>2</v>
      </c>
      <c r="E8" s="7">
        <v>0.625</v>
      </c>
      <c r="F8" s="7">
        <v>0.875</v>
      </c>
      <c r="G8" s="6"/>
      <c r="H8" s="6"/>
    </row>
    <row r="9" spans="1:16" x14ac:dyDescent="0.45">
      <c r="A9" t="s">
        <v>294</v>
      </c>
      <c r="B9" t="s">
        <v>295</v>
      </c>
      <c r="C9">
        <v>4</v>
      </c>
      <c r="D9">
        <v>2</v>
      </c>
      <c r="E9" s="7">
        <v>0.375</v>
      </c>
      <c r="F9" s="7">
        <v>0.625</v>
      </c>
      <c r="G9" s="6"/>
      <c r="H9" s="6"/>
    </row>
    <row r="10" spans="1:16" x14ac:dyDescent="0.45">
      <c r="A10" t="s">
        <v>296</v>
      </c>
      <c r="B10" t="s">
        <v>297</v>
      </c>
      <c r="C10">
        <v>4</v>
      </c>
      <c r="D10">
        <v>2</v>
      </c>
      <c r="E10" s="7">
        <v>0.625</v>
      </c>
      <c r="F10" s="7">
        <v>0.875</v>
      </c>
      <c r="G10" s="6"/>
      <c r="H10" s="6"/>
    </row>
    <row r="11" spans="1:16" x14ac:dyDescent="0.45">
      <c r="A11" t="s">
        <v>298</v>
      </c>
      <c r="B11" t="s">
        <v>299</v>
      </c>
      <c r="C11">
        <v>4</v>
      </c>
      <c r="D11">
        <v>2</v>
      </c>
      <c r="E11" s="7">
        <v>0.625</v>
      </c>
      <c r="F11" s="7">
        <v>0.875</v>
      </c>
      <c r="G11" s="6"/>
      <c r="H11" s="6"/>
    </row>
    <row r="12" spans="1:16" x14ac:dyDescent="0.45">
      <c r="A12" t="s">
        <v>300</v>
      </c>
      <c r="B12" t="s">
        <v>301</v>
      </c>
      <c r="C12">
        <v>4</v>
      </c>
      <c r="D12">
        <v>2</v>
      </c>
      <c r="E12" s="7">
        <v>0.375</v>
      </c>
      <c r="F12" s="7">
        <v>0.625</v>
      </c>
      <c r="G12" s="6"/>
      <c r="H12" s="6"/>
    </row>
    <row r="13" spans="1:16" x14ac:dyDescent="0.45">
      <c r="A13" t="s">
        <v>302</v>
      </c>
      <c r="B13" t="s">
        <v>303</v>
      </c>
      <c r="C13">
        <v>4</v>
      </c>
      <c r="D13">
        <v>2</v>
      </c>
      <c r="E13" s="7">
        <v>0.375</v>
      </c>
      <c r="F13" s="7">
        <v>0.625</v>
      </c>
      <c r="G13" s="6"/>
      <c r="H13" s="6"/>
    </row>
    <row r="14" spans="1:16" x14ac:dyDescent="0.45">
      <c r="A14" t="s">
        <v>304</v>
      </c>
      <c r="B14" t="s">
        <v>305</v>
      </c>
      <c r="C14">
        <v>4</v>
      </c>
      <c r="D14">
        <v>2</v>
      </c>
      <c r="E14" s="7">
        <v>0.625</v>
      </c>
      <c r="F14" s="7">
        <v>0.875</v>
      </c>
      <c r="G14" s="6"/>
      <c r="H14" s="6"/>
    </row>
    <row r="15" spans="1:16" x14ac:dyDescent="0.45">
      <c r="A15" t="s">
        <v>306</v>
      </c>
      <c r="B15" t="s">
        <v>307</v>
      </c>
      <c r="C15">
        <v>4</v>
      </c>
      <c r="D15">
        <v>2</v>
      </c>
      <c r="E15" s="7">
        <v>0.625</v>
      </c>
      <c r="F15" s="7">
        <v>0.875</v>
      </c>
      <c r="G15" s="6"/>
      <c r="H15" s="6"/>
    </row>
    <row r="16" spans="1:16" x14ac:dyDescent="0.45">
      <c r="A16" t="s">
        <v>308</v>
      </c>
      <c r="B16" t="s">
        <v>309</v>
      </c>
      <c r="C16">
        <v>4</v>
      </c>
      <c r="D16">
        <v>2</v>
      </c>
      <c r="E16" s="7">
        <v>0.625</v>
      </c>
      <c r="F16" s="7">
        <v>0.875</v>
      </c>
      <c r="G16" s="6"/>
      <c r="H16" s="6"/>
    </row>
    <row r="17" spans="1:8" x14ac:dyDescent="0.45">
      <c r="A17" t="s">
        <v>310</v>
      </c>
      <c r="B17" t="s">
        <v>311</v>
      </c>
      <c r="C17">
        <v>4</v>
      </c>
      <c r="D17">
        <v>2</v>
      </c>
      <c r="E17" s="7">
        <v>0.375</v>
      </c>
      <c r="F17" s="7">
        <v>0.54166666666666663</v>
      </c>
      <c r="G17" s="6"/>
      <c r="H17" s="6"/>
    </row>
    <row r="18" spans="1:8" x14ac:dyDescent="0.45">
      <c r="A18" t="s">
        <v>312</v>
      </c>
      <c r="B18" t="s">
        <v>313</v>
      </c>
      <c r="C18">
        <v>4</v>
      </c>
      <c r="D18">
        <v>2</v>
      </c>
      <c r="E18" s="7">
        <v>0.625</v>
      </c>
      <c r="F18" s="7">
        <v>0.875</v>
      </c>
      <c r="G18" s="6"/>
      <c r="H18" s="6"/>
    </row>
    <row r="19" spans="1:8" x14ac:dyDescent="0.45">
      <c r="A19" t="s">
        <v>314</v>
      </c>
      <c r="B19" t="s">
        <v>315</v>
      </c>
      <c r="C19">
        <v>4</v>
      </c>
      <c r="D19">
        <v>2</v>
      </c>
      <c r="E19" s="7">
        <v>0.625</v>
      </c>
      <c r="F19" s="7">
        <v>0.875</v>
      </c>
      <c r="G19" s="6"/>
      <c r="H19" s="6"/>
    </row>
    <row r="20" spans="1:8" x14ac:dyDescent="0.45">
      <c r="A20" t="s">
        <v>316</v>
      </c>
      <c r="B20" t="s">
        <v>317</v>
      </c>
      <c r="C20">
        <v>4</v>
      </c>
      <c r="D20">
        <v>2</v>
      </c>
      <c r="E20" s="7">
        <v>0.625</v>
      </c>
      <c r="F20" s="7">
        <v>0.875</v>
      </c>
      <c r="G20" s="6"/>
      <c r="H20" s="6"/>
    </row>
    <row r="21" spans="1:8" x14ac:dyDescent="0.45">
      <c r="A21" t="s">
        <v>318</v>
      </c>
      <c r="B21" t="s">
        <v>319</v>
      </c>
      <c r="C21">
        <v>4</v>
      </c>
      <c r="D21">
        <v>2</v>
      </c>
      <c r="E21" s="7">
        <v>0.625</v>
      </c>
      <c r="F21" s="7">
        <v>0.875</v>
      </c>
      <c r="G21" s="6"/>
      <c r="H21" s="6"/>
    </row>
    <row r="22" spans="1:8" x14ac:dyDescent="0.45">
      <c r="G22" s="6"/>
      <c r="H22" s="6"/>
    </row>
    <row r="23" spans="1:8" x14ac:dyDescent="0.45">
      <c r="G23" s="6"/>
      <c r="H23" s="6"/>
    </row>
    <row r="24" spans="1:8" x14ac:dyDescent="0.45">
      <c r="G24" s="6"/>
      <c r="H24" s="6"/>
    </row>
    <row r="25" spans="1:8" x14ac:dyDescent="0.45">
      <c r="G25" s="6"/>
      <c r="H25" s="6"/>
    </row>
    <row r="26" spans="1:8" x14ac:dyDescent="0.45">
      <c r="G26" s="6"/>
      <c r="H26" s="6"/>
    </row>
    <row r="27" spans="1:8" x14ac:dyDescent="0.45">
      <c r="G27" s="6"/>
      <c r="H27" s="6"/>
    </row>
    <row r="28" spans="1:8" x14ac:dyDescent="0.45">
      <c r="G28" s="6"/>
      <c r="H28" s="6"/>
    </row>
    <row r="29" spans="1:8" x14ac:dyDescent="0.45">
      <c r="G29" s="6"/>
      <c r="H29" s="6"/>
    </row>
    <row r="30" spans="1:8" x14ac:dyDescent="0.45">
      <c r="G30" s="6"/>
      <c r="H30" s="6"/>
    </row>
    <row r="31" spans="1:8" x14ac:dyDescent="0.45">
      <c r="G31" s="6"/>
      <c r="H31" s="6"/>
    </row>
    <row r="32" spans="1:8" x14ac:dyDescent="0.45">
      <c r="G32" s="6"/>
      <c r="H32" s="6"/>
    </row>
    <row r="33" spans="7:8" x14ac:dyDescent="0.45">
      <c r="G33" s="6"/>
      <c r="H33" s="6"/>
    </row>
    <row r="34" spans="7:8" x14ac:dyDescent="0.45">
      <c r="G34" s="6"/>
      <c r="H34" s="6"/>
    </row>
    <row r="35" spans="7:8" x14ac:dyDescent="0.45">
      <c r="G35" s="6"/>
      <c r="H35" s="6"/>
    </row>
    <row r="36" spans="7:8" x14ac:dyDescent="0.45">
      <c r="G36" s="6"/>
      <c r="H36" s="6"/>
    </row>
    <row r="37" spans="7:8" x14ac:dyDescent="0.45">
      <c r="G37" s="6"/>
      <c r="H37" s="6"/>
    </row>
    <row r="38" spans="7:8" x14ac:dyDescent="0.45">
      <c r="G38" s="6"/>
      <c r="H38" s="6"/>
    </row>
    <row r="39" spans="7:8" x14ac:dyDescent="0.45">
      <c r="G39" s="6"/>
      <c r="H39" s="6"/>
    </row>
    <row r="40" spans="7:8" x14ac:dyDescent="0.45">
      <c r="G40" s="6"/>
      <c r="H40" s="6"/>
    </row>
    <row r="41" spans="7:8" x14ac:dyDescent="0.45">
      <c r="G41" s="6"/>
      <c r="H41" s="6"/>
    </row>
    <row r="42" spans="7:8" x14ac:dyDescent="0.45">
      <c r="G42" s="6"/>
      <c r="H42" s="6"/>
    </row>
    <row r="43" spans="7:8" x14ac:dyDescent="0.45">
      <c r="G43" s="6"/>
      <c r="H43" s="6"/>
    </row>
    <row r="44" spans="7:8" x14ac:dyDescent="0.45">
      <c r="G44" s="6"/>
      <c r="H44" s="6"/>
    </row>
    <row r="45" spans="7:8" x14ac:dyDescent="0.45">
      <c r="G45" s="6"/>
      <c r="H45" s="6"/>
    </row>
    <row r="46" spans="7:8" x14ac:dyDescent="0.45">
      <c r="G46" s="6"/>
      <c r="H46" s="6"/>
    </row>
    <row r="47" spans="7:8" x14ac:dyDescent="0.45">
      <c r="G47" s="6"/>
      <c r="H47" s="6"/>
    </row>
    <row r="48" spans="7:8" x14ac:dyDescent="0.45">
      <c r="G48" s="6"/>
      <c r="H48" s="6"/>
    </row>
    <row r="49" spans="7:8" x14ac:dyDescent="0.45">
      <c r="G49" s="6"/>
      <c r="H49" s="6"/>
    </row>
    <row r="50" spans="7:8" x14ac:dyDescent="0.45">
      <c r="G50" s="6"/>
      <c r="H50" s="6"/>
    </row>
    <row r="51" spans="7:8" x14ac:dyDescent="0.45">
      <c r="G51" s="6"/>
      <c r="H51" s="6"/>
    </row>
    <row r="52" spans="7:8" x14ac:dyDescent="0.45">
      <c r="G52" s="6"/>
      <c r="H52" s="6"/>
    </row>
    <row r="53" spans="7:8" x14ac:dyDescent="0.45">
      <c r="G53" s="6"/>
      <c r="H53" s="6"/>
    </row>
    <row r="54" spans="7:8" x14ac:dyDescent="0.45">
      <c r="G54" s="6"/>
      <c r="H54" s="6"/>
    </row>
    <row r="55" spans="7:8" x14ac:dyDescent="0.45">
      <c r="G55" s="6"/>
      <c r="H55" s="6"/>
    </row>
    <row r="56" spans="7:8" x14ac:dyDescent="0.45">
      <c r="G56" s="6"/>
      <c r="H56" s="6"/>
    </row>
    <row r="57" spans="7:8" x14ac:dyDescent="0.45">
      <c r="G57" s="6"/>
      <c r="H57" s="6"/>
    </row>
    <row r="58" spans="7:8" x14ac:dyDescent="0.45">
      <c r="G58" s="6"/>
      <c r="H58" s="6"/>
    </row>
    <row r="59" spans="7:8" x14ac:dyDescent="0.45">
      <c r="G59" s="6"/>
      <c r="H59" s="6"/>
    </row>
    <row r="60" spans="7:8" x14ac:dyDescent="0.45">
      <c r="G60" s="6"/>
      <c r="H60" s="6"/>
    </row>
    <row r="61" spans="7:8" x14ac:dyDescent="0.45">
      <c r="G61" s="6"/>
      <c r="H61" s="6"/>
    </row>
    <row r="62" spans="7:8" x14ac:dyDescent="0.45">
      <c r="G62" s="6"/>
      <c r="H62" s="6"/>
    </row>
    <row r="63" spans="7:8" x14ac:dyDescent="0.45">
      <c r="G63" s="6"/>
      <c r="H63" s="6"/>
    </row>
    <row r="64" spans="7:8" x14ac:dyDescent="0.45">
      <c r="G64" s="6"/>
      <c r="H64" s="6"/>
    </row>
    <row r="65" spans="7:8" x14ac:dyDescent="0.45">
      <c r="G65" s="6"/>
      <c r="H65" s="6"/>
    </row>
    <row r="66" spans="7:8" x14ac:dyDescent="0.45">
      <c r="G66" s="6"/>
      <c r="H66" s="6"/>
    </row>
    <row r="67" spans="7:8" x14ac:dyDescent="0.45">
      <c r="G67" s="6"/>
      <c r="H67" s="6"/>
    </row>
    <row r="68" spans="7:8" x14ac:dyDescent="0.45">
      <c r="G68" s="6"/>
      <c r="H68" s="6"/>
    </row>
    <row r="69" spans="7:8" x14ac:dyDescent="0.45">
      <c r="G69" s="6"/>
      <c r="H69" s="6"/>
    </row>
    <row r="70" spans="7:8" x14ac:dyDescent="0.45">
      <c r="G70" s="6"/>
      <c r="H70" s="6"/>
    </row>
    <row r="71" spans="7:8" x14ac:dyDescent="0.45">
      <c r="G71" s="6"/>
      <c r="H71" s="6"/>
    </row>
    <row r="72" spans="7:8" x14ac:dyDescent="0.45">
      <c r="G72" s="6"/>
      <c r="H72" s="6"/>
    </row>
    <row r="73" spans="7:8" x14ac:dyDescent="0.45">
      <c r="G73" s="6"/>
      <c r="H73" s="6"/>
    </row>
    <row r="74" spans="7:8" x14ac:dyDescent="0.45">
      <c r="G74" s="6"/>
      <c r="H74" s="6"/>
    </row>
    <row r="75" spans="7:8" x14ac:dyDescent="0.45">
      <c r="G75" s="6"/>
      <c r="H75" s="6"/>
    </row>
    <row r="76" spans="7:8" x14ac:dyDescent="0.45">
      <c r="G76" s="6"/>
      <c r="H76" s="6"/>
    </row>
    <row r="77" spans="7:8" x14ac:dyDescent="0.45">
      <c r="G77" s="6"/>
      <c r="H77" s="6"/>
    </row>
    <row r="78" spans="7:8" x14ac:dyDescent="0.45">
      <c r="G78" s="6"/>
      <c r="H78" s="6"/>
    </row>
    <row r="79" spans="7:8" x14ac:dyDescent="0.45">
      <c r="G79" s="6"/>
      <c r="H79" s="6"/>
    </row>
    <row r="80" spans="7:8" x14ac:dyDescent="0.45">
      <c r="G80" s="6"/>
      <c r="H80" s="6"/>
    </row>
    <row r="81" spans="7:8" x14ac:dyDescent="0.45">
      <c r="G81" s="6"/>
      <c r="H81" s="6"/>
    </row>
    <row r="82" spans="7:8" x14ac:dyDescent="0.45">
      <c r="G82" s="6"/>
      <c r="H82" s="6"/>
    </row>
    <row r="83" spans="7:8" x14ac:dyDescent="0.45">
      <c r="G83" s="6"/>
      <c r="H83" s="6"/>
    </row>
    <row r="84" spans="7:8" x14ac:dyDescent="0.45">
      <c r="G84" s="6"/>
      <c r="H84" s="6"/>
    </row>
    <row r="85" spans="7:8" x14ac:dyDescent="0.45">
      <c r="G85" s="6"/>
      <c r="H85" s="6"/>
    </row>
    <row r="86" spans="7:8" x14ac:dyDescent="0.45">
      <c r="G86" s="6"/>
      <c r="H86" s="6"/>
    </row>
    <row r="87" spans="7:8" x14ac:dyDescent="0.45">
      <c r="G87" s="6"/>
      <c r="H87" s="6"/>
    </row>
    <row r="88" spans="7:8" x14ac:dyDescent="0.45">
      <c r="G88" s="6"/>
      <c r="H88" s="6"/>
    </row>
    <row r="89" spans="7:8" x14ac:dyDescent="0.45">
      <c r="G89" s="6"/>
      <c r="H89" s="6"/>
    </row>
    <row r="90" spans="7:8" x14ac:dyDescent="0.45">
      <c r="G90" s="6"/>
      <c r="H90" s="6"/>
    </row>
    <row r="91" spans="7:8" x14ac:dyDescent="0.45">
      <c r="G91" s="6"/>
      <c r="H91" s="6"/>
    </row>
    <row r="92" spans="7:8" x14ac:dyDescent="0.45">
      <c r="G92" s="6"/>
      <c r="H92" s="6"/>
    </row>
    <row r="93" spans="7:8" x14ac:dyDescent="0.45">
      <c r="G93" s="6"/>
      <c r="H93" s="6"/>
    </row>
    <row r="94" spans="7:8" x14ac:dyDescent="0.45">
      <c r="G94" s="6"/>
      <c r="H94" s="6"/>
    </row>
    <row r="95" spans="7:8" x14ac:dyDescent="0.45">
      <c r="G95" s="6"/>
      <c r="H95" s="6"/>
    </row>
    <row r="96" spans="7:8" x14ac:dyDescent="0.45">
      <c r="G96" s="6"/>
      <c r="H96" s="6"/>
    </row>
    <row r="97" spans="7:8" x14ac:dyDescent="0.45">
      <c r="G97" s="6"/>
      <c r="H97" s="6"/>
    </row>
    <row r="98" spans="7:8" x14ac:dyDescent="0.45">
      <c r="G98" s="6"/>
      <c r="H98" s="6"/>
    </row>
    <row r="99" spans="7:8" x14ac:dyDescent="0.45">
      <c r="G99" s="6"/>
      <c r="H99" s="6"/>
    </row>
    <row r="100" spans="7:8" x14ac:dyDescent="0.45">
      <c r="G100" s="6"/>
      <c r="H100" s="6"/>
    </row>
    <row r="101" spans="7:8" x14ac:dyDescent="0.45">
      <c r="G101" s="6"/>
      <c r="H101" s="6"/>
    </row>
    <row r="102" spans="7:8" x14ac:dyDescent="0.45">
      <c r="G102" s="6"/>
      <c r="H102" s="6"/>
    </row>
    <row r="103" spans="7:8" x14ac:dyDescent="0.45">
      <c r="G103" s="6"/>
      <c r="H103" s="6"/>
    </row>
    <row r="104" spans="7:8" x14ac:dyDescent="0.45">
      <c r="G104" s="6"/>
      <c r="H104" s="6"/>
    </row>
    <row r="105" spans="7:8" x14ac:dyDescent="0.45">
      <c r="G105" s="6"/>
      <c r="H105" s="6"/>
    </row>
    <row r="106" spans="7:8" x14ac:dyDescent="0.45">
      <c r="G106" s="6"/>
      <c r="H106" s="6"/>
    </row>
    <row r="107" spans="7:8" x14ac:dyDescent="0.45">
      <c r="G107" s="6"/>
      <c r="H107" s="6"/>
    </row>
    <row r="108" spans="7:8" x14ac:dyDescent="0.45">
      <c r="G108" s="6"/>
      <c r="H108" s="6"/>
    </row>
    <row r="109" spans="7:8" x14ac:dyDescent="0.45">
      <c r="G109" s="6"/>
      <c r="H109" s="6"/>
    </row>
    <row r="110" spans="7:8" x14ac:dyDescent="0.45">
      <c r="G110" s="6"/>
      <c r="H110" s="6"/>
    </row>
    <row r="111" spans="7:8" x14ac:dyDescent="0.45">
      <c r="G111" s="6"/>
      <c r="H111" s="6"/>
    </row>
    <row r="112" spans="7:8" x14ac:dyDescent="0.45">
      <c r="G112" s="6"/>
      <c r="H112" s="6"/>
    </row>
    <row r="113" spans="7:8" x14ac:dyDescent="0.45">
      <c r="G113" s="6"/>
      <c r="H113" s="6"/>
    </row>
    <row r="114" spans="7:8" x14ac:dyDescent="0.45">
      <c r="G114" s="6"/>
      <c r="H114" s="6"/>
    </row>
    <row r="115" spans="7:8" x14ac:dyDescent="0.45">
      <c r="G115" s="6"/>
      <c r="H115" s="6"/>
    </row>
    <row r="116" spans="7:8" x14ac:dyDescent="0.45">
      <c r="G116" s="6"/>
      <c r="H116" s="6"/>
    </row>
    <row r="117" spans="7:8" x14ac:dyDescent="0.45">
      <c r="G117" s="6"/>
      <c r="H117" s="6"/>
    </row>
    <row r="118" spans="7:8" x14ac:dyDescent="0.45">
      <c r="G118" s="6"/>
      <c r="H118" s="6"/>
    </row>
    <row r="119" spans="7:8" x14ac:dyDescent="0.45">
      <c r="G119" s="6"/>
      <c r="H119" s="6"/>
    </row>
    <row r="120" spans="7:8" x14ac:dyDescent="0.45">
      <c r="G120" s="6"/>
      <c r="H120" s="6"/>
    </row>
    <row r="121" spans="7:8" x14ac:dyDescent="0.45">
      <c r="G121" s="6"/>
      <c r="H121" s="6"/>
    </row>
    <row r="122" spans="7:8" x14ac:dyDescent="0.45">
      <c r="G122" s="6"/>
      <c r="H122" s="6"/>
    </row>
    <row r="123" spans="7:8" x14ac:dyDescent="0.45">
      <c r="G123" s="6"/>
      <c r="H123" s="6"/>
    </row>
    <row r="124" spans="7:8" x14ac:dyDescent="0.45">
      <c r="G124" s="6"/>
      <c r="H124" s="6"/>
    </row>
    <row r="125" spans="7:8" x14ac:dyDescent="0.45">
      <c r="G125" s="6"/>
      <c r="H125" s="6"/>
    </row>
    <row r="126" spans="7:8" x14ac:dyDescent="0.45">
      <c r="G126" s="6"/>
      <c r="H126" s="6"/>
    </row>
    <row r="127" spans="7:8" x14ac:dyDescent="0.45">
      <c r="G127" s="6"/>
      <c r="H127" s="6"/>
    </row>
    <row r="128" spans="7:8" x14ac:dyDescent="0.45">
      <c r="G128" s="6"/>
      <c r="H128" s="6"/>
    </row>
    <row r="129" spans="7:8" x14ac:dyDescent="0.45">
      <c r="G129" s="6"/>
      <c r="H129" s="6"/>
    </row>
    <row r="130" spans="7:8" x14ac:dyDescent="0.45">
      <c r="G130" s="6"/>
      <c r="H130" s="6"/>
    </row>
    <row r="131" spans="7:8" x14ac:dyDescent="0.45">
      <c r="G131" s="6"/>
      <c r="H131" s="6"/>
    </row>
    <row r="132" spans="7:8" x14ac:dyDescent="0.45">
      <c r="G132" s="6"/>
      <c r="H132" s="6"/>
    </row>
    <row r="133" spans="7:8" x14ac:dyDescent="0.45">
      <c r="G133" s="6"/>
      <c r="H133" s="6"/>
    </row>
    <row r="134" spans="7:8" x14ac:dyDescent="0.45">
      <c r="G134" s="6"/>
      <c r="H134" s="6"/>
    </row>
    <row r="135" spans="7:8" x14ac:dyDescent="0.45">
      <c r="G135" s="6"/>
      <c r="H135" s="6"/>
    </row>
    <row r="136" spans="7:8" x14ac:dyDescent="0.45">
      <c r="G136" s="6"/>
      <c r="H136" s="6"/>
    </row>
    <row r="137" spans="7:8" x14ac:dyDescent="0.45">
      <c r="G137" s="6"/>
      <c r="H137" s="6"/>
    </row>
    <row r="138" spans="7:8" x14ac:dyDescent="0.45">
      <c r="G138" s="6"/>
      <c r="H138" s="6"/>
    </row>
    <row r="139" spans="7:8" x14ac:dyDescent="0.45">
      <c r="G139" s="6"/>
      <c r="H139" s="6"/>
    </row>
    <row r="140" spans="7:8" x14ac:dyDescent="0.45">
      <c r="G140" s="6"/>
      <c r="H140" s="6"/>
    </row>
    <row r="141" spans="7:8" x14ac:dyDescent="0.45">
      <c r="G141" s="6"/>
      <c r="H141" s="6"/>
    </row>
    <row r="142" spans="7:8" x14ac:dyDescent="0.45">
      <c r="G142" s="6"/>
      <c r="H142" s="6"/>
    </row>
    <row r="143" spans="7:8" x14ac:dyDescent="0.45">
      <c r="G143" s="6"/>
      <c r="H143" s="6"/>
    </row>
    <row r="144" spans="7:8" x14ac:dyDescent="0.45">
      <c r="G144" s="6"/>
      <c r="H144" s="6"/>
    </row>
  </sheetData>
  <conditionalFormatting sqref="B2:B144">
    <cfRule type="duplicateValues" dxfId="1" priority="1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S22"/>
  <sheetViews>
    <sheetView topLeftCell="D1" workbookViewId="0">
      <selection activeCell="S3" sqref="R3:S22"/>
    </sheetView>
  </sheetViews>
  <sheetFormatPr defaultRowHeight="14.25" x14ac:dyDescent="0.45"/>
  <cols>
    <col min="1" max="1" width="17.59765625" bestFit="1" customWidth="1"/>
    <col min="4" max="4" width="10.3984375" bestFit="1" customWidth="1"/>
    <col min="5" max="5" width="9.3984375" bestFit="1" customWidth="1"/>
    <col min="6" max="6" width="10.3984375" bestFit="1" customWidth="1"/>
    <col min="7" max="7" width="9.3984375" bestFit="1" customWidth="1"/>
  </cols>
  <sheetData>
    <row r="1" spans="1:19" x14ac:dyDescent="0.45">
      <c r="D1" s="11">
        <v>39</v>
      </c>
      <c r="E1" s="12"/>
      <c r="F1" s="11">
        <v>40</v>
      </c>
      <c r="G1" s="12"/>
      <c r="H1" s="11">
        <v>41</v>
      </c>
      <c r="I1" s="12"/>
      <c r="J1" s="11">
        <v>42</v>
      </c>
      <c r="K1" s="12"/>
      <c r="L1" s="11">
        <v>43</v>
      </c>
      <c r="M1" s="12"/>
      <c r="N1" s="11">
        <v>44</v>
      </c>
      <c r="O1" s="12"/>
      <c r="P1" s="11">
        <f>+N1+1</f>
        <v>45</v>
      </c>
      <c r="Q1" s="12"/>
      <c r="R1" s="11">
        <f>+P1+1</f>
        <v>46</v>
      </c>
      <c r="S1" s="12"/>
    </row>
    <row r="2" spans="1:19" ht="14.1" customHeight="1" x14ac:dyDescent="0.45">
      <c r="A2" t="s">
        <v>265</v>
      </c>
      <c r="B2" t="s">
        <v>266</v>
      </c>
      <c r="C2" t="s">
        <v>267</v>
      </c>
      <c r="D2" s="7" t="s">
        <v>268</v>
      </c>
      <c r="E2" s="7" t="s">
        <v>269</v>
      </c>
      <c r="F2" s="7" t="s">
        <v>268</v>
      </c>
      <c r="G2" s="7" t="s">
        <v>269</v>
      </c>
      <c r="H2" s="7" t="s">
        <v>268</v>
      </c>
      <c r="I2" s="7" t="s">
        <v>269</v>
      </c>
      <c r="J2" s="7" t="s">
        <v>268</v>
      </c>
      <c r="K2" s="7" t="s">
        <v>269</v>
      </c>
      <c r="L2" s="7" t="s">
        <v>268</v>
      </c>
      <c r="M2" s="7" t="s">
        <v>269</v>
      </c>
      <c r="N2" s="7" t="s">
        <v>268</v>
      </c>
      <c r="O2" s="7" t="s">
        <v>269</v>
      </c>
      <c r="P2" s="7" t="s">
        <v>268</v>
      </c>
      <c r="Q2" s="7" t="s">
        <v>269</v>
      </c>
      <c r="R2" s="7" t="s">
        <v>268</v>
      </c>
      <c r="S2" s="7" t="s">
        <v>269</v>
      </c>
    </row>
    <row r="3" spans="1:19" x14ac:dyDescent="0.45">
      <c r="A3" t="s">
        <v>281</v>
      </c>
      <c r="B3">
        <v>4</v>
      </c>
      <c r="C3">
        <v>2</v>
      </c>
      <c r="D3" s="7">
        <v>0.375</v>
      </c>
      <c r="E3" s="7">
        <v>0.625</v>
      </c>
      <c r="F3" s="7">
        <f t="shared" ref="F3:F22" si="0">+IF(D3*24=9,15/24,9/24)</f>
        <v>0.625</v>
      </c>
      <c r="G3" s="7">
        <f t="shared" ref="G3:G22" si="1">+IF(D3*24=9,21/24,15/24)</f>
        <v>0.875</v>
      </c>
      <c r="H3" s="7">
        <f t="shared" ref="H3:H22" si="2">+IF(F3*24=9,15/24,9/24)</f>
        <v>0.375</v>
      </c>
      <c r="I3" s="7">
        <f t="shared" ref="I3:I22" si="3">+IF(F3*24=9,21/24,15/24)</f>
        <v>0.625</v>
      </c>
      <c r="J3" s="7">
        <f>+IF(H3*24=9,15/24,9/24)</f>
        <v>0.625</v>
      </c>
      <c r="K3" s="7">
        <f>+IF(H3*24=9,21/24,15/24)</f>
        <v>0.875</v>
      </c>
      <c r="L3" s="7">
        <f>+IF(J3*24=9,15/24,9/24)</f>
        <v>0.375</v>
      </c>
      <c r="M3" s="7">
        <f>+IF(J3*24=9,21/24,15/24)</f>
        <v>0.625</v>
      </c>
      <c r="N3" s="7">
        <f>+IF(L3*24=9,15/24,9/24)</f>
        <v>0.625</v>
      </c>
      <c r="O3" s="7">
        <f>+IF(L3*24=9,21/24,15/24)</f>
        <v>0.875</v>
      </c>
      <c r="P3" s="7">
        <f>+IF(N3*24=9,15/24,9/24)</f>
        <v>0.375</v>
      </c>
      <c r="Q3" s="7">
        <f>+IF(N3*24=9,21/24,15/24)</f>
        <v>0.625</v>
      </c>
      <c r="R3" s="7">
        <f>+IF(P3*24=9,15/24,9/24)</f>
        <v>0.625</v>
      </c>
      <c r="S3" s="7">
        <f>+IF(P3*24=9,21/24,15/24)</f>
        <v>0.875</v>
      </c>
    </row>
    <row r="4" spans="1:19" x14ac:dyDescent="0.45">
      <c r="A4" t="s">
        <v>283</v>
      </c>
      <c r="B4">
        <v>4</v>
      </c>
      <c r="C4">
        <v>2</v>
      </c>
      <c r="D4" s="7">
        <v>0.375</v>
      </c>
      <c r="E4" s="7">
        <v>0.625</v>
      </c>
      <c r="F4" s="7">
        <f t="shared" si="0"/>
        <v>0.625</v>
      </c>
      <c r="G4" s="7">
        <f t="shared" si="1"/>
        <v>0.875</v>
      </c>
      <c r="H4" s="7">
        <f t="shared" si="2"/>
        <v>0.375</v>
      </c>
      <c r="I4" s="7">
        <f t="shared" si="3"/>
        <v>0.625</v>
      </c>
      <c r="J4" s="7">
        <f>+IF(H4*24=9,15/24,9/24)</f>
        <v>0.625</v>
      </c>
      <c r="K4" s="7">
        <f>+IF(H4*24=9,21/24,15/24)</f>
        <v>0.875</v>
      </c>
      <c r="L4" s="7">
        <f>+IF(J4*24=9,15/24,9/24)</f>
        <v>0.375</v>
      </c>
      <c r="M4" s="7">
        <f>+IF(J4*24=9,21/24,15/24)</f>
        <v>0.625</v>
      </c>
      <c r="N4" s="7">
        <f>+IF(L4*24=9,15/24,9/24)</f>
        <v>0.625</v>
      </c>
      <c r="O4" s="7">
        <f>+IF(L4*24=9,21/24,15/24)</f>
        <v>0.875</v>
      </c>
      <c r="P4" s="7">
        <f>+IF(N4*24=9,15/24,9/24)</f>
        <v>0.375</v>
      </c>
      <c r="Q4" s="7">
        <f>+IF(N4*24=9,21/24,15/24)</f>
        <v>0.625</v>
      </c>
      <c r="R4" s="7">
        <f>+IF(P4*24=9,15/24,9/24)</f>
        <v>0.625</v>
      </c>
      <c r="S4" s="7">
        <f>+IF(P4*24=9,21/24,15/24)</f>
        <v>0.875</v>
      </c>
    </row>
    <row r="5" spans="1:19" x14ac:dyDescent="0.45">
      <c r="A5" t="s">
        <v>285</v>
      </c>
      <c r="B5">
        <v>4</v>
      </c>
      <c r="C5">
        <v>2</v>
      </c>
      <c r="D5" s="7">
        <v>0.625</v>
      </c>
      <c r="E5" s="7">
        <v>0.875</v>
      </c>
      <c r="F5" s="7">
        <f t="shared" si="0"/>
        <v>0.375</v>
      </c>
      <c r="G5" s="7">
        <f t="shared" si="1"/>
        <v>0.625</v>
      </c>
      <c r="H5" s="7">
        <f t="shared" si="2"/>
        <v>0.625</v>
      </c>
      <c r="I5" s="7">
        <f t="shared" si="3"/>
        <v>0.875</v>
      </c>
      <c r="J5" s="7">
        <f>+IF(H5*24=9,15/24,9/24)</f>
        <v>0.375</v>
      </c>
      <c r="K5" s="7">
        <f>+IF(H5*24=9,21/24,15/24)</f>
        <v>0.625</v>
      </c>
      <c r="L5" s="7">
        <f>+IF(J5*24=9,15/24,9/24)</f>
        <v>0.625</v>
      </c>
      <c r="M5" s="7">
        <f>+IF(J5*24=9,21/24,15/24)</f>
        <v>0.875</v>
      </c>
      <c r="N5" s="7">
        <f>+IF(L5*24=9,15/24,9/24)</f>
        <v>0.375</v>
      </c>
      <c r="O5" s="7">
        <f>+IF(L5*24=9,21/24,15/24)</f>
        <v>0.625</v>
      </c>
      <c r="P5" s="7">
        <f>+IF(N5*24=9,15/24,9/24)</f>
        <v>0.625</v>
      </c>
      <c r="Q5" s="7">
        <f>+IF(N5*24=9,21/24,15/24)</f>
        <v>0.875</v>
      </c>
      <c r="R5" s="7">
        <f>+IF(P5*24=9,15/24,9/24)</f>
        <v>0.375</v>
      </c>
      <c r="S5" s="7">
        <f>+IF(P5*24=9,21/24,15/24)</f>
        <v>0.625</v>
      </c>
    </row>
    <row r="6" spans="1:19" x14ac:dyDescent="0.45">
      <c r="A6" t="s">
        <v>287</v>
      </c>
      <c r="B6">
        <v>4</v>
      </c>
      <c r="C6">
        <v>2</v>
      </c>
      <c r="D6" s="7">
        <v>0.625</v>
      </c>
      <c r="E6" s="7">
        <v>0.875</v>
      </c>
      <c r="F6" s="7">
        <f t="shared" si="0"/>
        <v>0.375</v>
      </c>
      <c r="G6" s="7">
        <f t="shared" si="1"/>
        <v>0.625</v>
      </c>
      <c r="H6" s="7">
        <f t="shared" si="2"/>
        <v>0.625</v>
      </c>
      <c r="I6" s="7">
        <f t="shared" si="3"/>
        <v>0.875</v>
      </c>
      <c r="J6" s="7">
        <f>+IF(H6*24=9,15/24,9/24)</f>
        <v>0.375</v>
      </c>
      <c r="K6" s="7">
        <f>+IF(H6*24=9,21/24,15/24)</f>
        <v>0.625</v>
      </c>
      <c r="L6" s="7">
        <f>+IF(J6*24=9,15/24,9/24)</f>
        <v>0.625</v>
      </c>
      <c r="M6" s="7">
        <f>+IF(J6*24=9,21/24,15/24)</f>
        <v>0.875</v>
      </c>
      <c r="N6" s="7">
        <f>+IF(L6*24=9,15/24,9/24)</f>
        <v>0.375</v>
      </c>
      <c r="O6" s="7">
        <f>+IF(L6*24=9,21/24,15/24)</f>
        <v>0.625</v>
      </c>
      <c r="P6" s="7">
        <f>+IF(N6*24=9,15/24,9/24)</f>
        <v>0.625</v>
      </c>
      <c r="Q6" s="7">
        <f>+IF(N6*24=9,21/24,15/24)</f>
        <v>0.875</v>
      </c>
      <c r="R6" s="7">
        <f>+IF(P6*24=9,15/24,9/24)</f>
        <v>0.375</v>
      </c>
      <c r="S6" s="7">
        <f>+IF(P6*24=9,21/24,15/24)</f>
        <v>0.625</v>
      </c>
    </row>
    <row r="7" spans="1:19" x14ac:dyDescent="0.45">
      <c r="A7" t="s">
        <v>289</v>
      </c>
      <c r="B7">
        <v>4</v>
      </c>
      <c r="C7">
        <v>2</v>
      </c>
      <c r="D7" s="7">
        <v>0.625</v>
      </c>
      <c r="E7" s="7">
        <v>0.875</v>
      </c>
      <c r="F7" s="7">
        <f t="shared" si="0"/>
        <v>0.375</v>
      </c>
      <c r="G7" s="7">
        <f t="shared" si="1"/>
        <v>0.625</v>
      </c>
      <c r="H7" s="7">
        <f t="shared" si="2"/>
        <v>0.625</v>
      </c>
      <c r="I7" s="7">
        <f t="shared" si="3"/>
        <v>0.875</v>
      </c>
      <c r="J7" s="7">
        <f>+IF(H7*24=9,15/24,9/24)</f>
        <v>0.375</v>
      </c>
      <c r="K7" s="7">
        <f>+IF(H7*24=9,21/24,15/24)</f>
        <v>0.625</v>
      </c>
      <c r="L7" s="7">
        <f>+IF(J7*24=9,15/24,9/24)</f>
        <v>0.625</v>
      </c>
      <c r="M7" s="7">
        <f>+IF(J7*24=9,21/24,15/24)</f>
        <v>0.875</v>
      </c>
      <c r="N7" s="7">
        <f>+IF(L7*24=9,15/24,9/24)</f>
        <v>0.375</v>
      </c>
      <c r="O7" s="7">
        <f>+IF(L7*24=9,21/24,15/24)</f>
        <v>0.625</v>
      </c>
      <c r="P7" s="7">
        <f>+IF(N7*24=9,15/24,9/24)</f>
        <v>0.625</v>
      </c>
      <c r="Q7" s="7">
        <f>+IF(N7*24=9,21/24,15/24)</f>
        <v>0.875</v>
      </c>
      <c r="R7" s="7">
        <f>+IF(P7*24=9,15/24,9/24)</f>
        <v>0.375</v>
      </c>
      <c r="S7" s="7">
        <f>+IF(P7*24=9,21/24,15/24)</f>
        <v>0.625</v>
      </c>
    </row>
    <row r="8" spans="1:19" x14ac:dyDescent="0.45">
      <c r="A8" t="s">
        <v>291</v>
      </c>
      <c r="B8">
        <v>4</v>
      </c>
      <c r="C8">
        <v>2</v>
      </c>
      <c r="D8" s="7">
        <v>0.375</v>
      </c>
      <c r="E8" s="7">
        <v>0.54166666666666663</v>
      </c>
      <c r="F8" s="7">
        <f t="shared" si="0"/>
        <v>0.625</v>
      </c>
      <c r="G8" s="7">
        <f t="shared" si="1"/>
        <v>0.875</v>
      </c>
      <c r="H8" s="7">
        <f t="shared" si="2"/>
        <v>0.375</v>
      </c>
      <c r="I8" s="7">
        <f t="shared" si="3"/>
        <v>0.625</v>
      </c>
      <c r="J8" s="10">
        <v>0.66666666666666663</v>
      </c>
      <c r="K8" s="10">
        <v>0.83333333333333337</v>
      </c>
      <c r="L8" s="10">
        <v>0.66666666666666663</v>
      </c>
      <c r="M8" s="10">
        <v>0.83333333333333337</v>
      </c>
      <c r="N8" s="10">
        <v>0.66666666666666663</v>
      </c>
      <c r="O8" s="10">
        <v>0.83333333333333337</v>
      </c>
      <c r="P8" s="10">
        <v>0.66666666666666663</v>
      </c>
      <c r="Q8" s="10">
        <v>0.83333333333333337</v>
      </c>
      <c r="R8" s="10">
        <v>0.66666666666666663</v>
      </c>
      <c r="S8" s="10">
        <v>0.83333333333333337</v>
      </c>
    </row>
    <row r="9" spans="1:19" x14ac:dyDescent="0.45">
      <c r="A9" t="s">
        <v>293</v>
      </c>
      <c r="B9">
        <v>4</v>
      </c>
      <c r="C9">
        <v>2</v>
      </c>
      <c r="D9" s="7">
        <v>0.375</v>
      </c>
      <c r="E9" s="7">
        <v>0.625</v>
      </c>
      <c r="F9" s="7">
        <f t="shared" si="0"/>
        <v>0.625</v>
      </c>
      <c r="G9" s="7">
        <f t="shared" si="1"/>
        <v>0.875</v>
      </c>
      <c r="H9" s="7">
        <f t="shared" si="2"/>
        <v>0.375</v>
      </c>
      <c r="I9" s="7">
        <f t="shared" si="3"/>
        <v>0.625</v>
      </c>
      <c r="J9" s="7">
        <f t="shared" ref="J9:J17" si="4">+IF(H9*24=9,15/24,9/24)</f>
        <v>0.625</v>
      </c>
      <c r="K9" s="7">
        <f t="shared" ref="K9:K17" si="5">+IF(H9*24=9,21/24,15/24)</f>
        <v>0.875</v>
      </c>
      <c r="L9" s="7">
        <f t="shared" ref="L9:L17" si="6">+IF(J9*24=9,15/24,9/24)</f>
        <v>0.375</v>
      </c>
      <c r="M9" s="7">
        <f t="shared" ref="M9:M17" si="7">+IF(J9*24=9,21/24,15/24)</f>
        <v>0.625</v>
      </c>
      <c r="N9" s="7">
        <f t="shared" ref="N9:N17" si="8">+IF(L9*24=9,15/24,9/24)</f>
        <v>0.625</v>
      </c>
      <c r="O9" s="7">
        <f t="shared" ref="O9:O17" si="9">+IF(L9*24=9,21/24,15/24)</f>
        <v>0.875</v>
      </c>
      <c r="P9" s="7">
        <f t="shared" ref="P9:P17" si="10">+IF(N9*24=9,15/24,9/24)</f>
        <v>0.375</v>
      </c>
      <c r="Q9" s="7">
        <f t="shared" ref="Q9:Q17" si="11">+IF(N9*24=9,21/24,15/24)</f>
        <v>0.625</v>
      </c>
      <c r="R9" s="7">
        <f t="shared" ref="R9:R17" si="12">+IF(P9*24=9,15/24,9/24)</f>
        <v>0.625</v>
      </c>
      <c r="S9" s="7">
        <f t="shared" ref="S9:S17" si="13">+IF(P9*24=9,21/24,15/24)</f>
        <v>0.875</v>
      </c>
    </row>
    <row r="10" spans="1:19" x14ac:dyDescent="0.45">
      <c r="A10" t="s">
        <v>295</v>
      </c>
      <c r="B10">
        <v>4</v>
      </c>
      <c r="C10">
        <v>2</v>
      </c>
      <c r="D10" s="7">
        <v>0.625</v>
      </c>
      <c r="E10" s="7">
        <v>0.875</v>
      </c>
      <c r="F10" s="7">
        <f t="shared" si="0"/>
        <v>0.375</v>
      </c>
      <c r="G10" s="7">
        <f t="shared" si="1"/>
        <v>0.625</v>
      </c>
      <c r="H10" s="7">
        <f t="shared" si="2"/>
        <v>0.625</v>
      </c>
      <c r="I10" s="7">
        <f t="shared" si="3"/>
        <v>0.875</v>
      </c>
      <c r="J10" s="7">
        <f t="shared" si="4"/>
        <v>0.375</v>
      </c>
      <c r="K10" s="7">
        <f t="shared" si="5"/>
        <v>0.625</v>
      </c>
      <c r="L10" s="7">
        <f t="shared" si="6"/>
        <v>0.625</v>
      </c>
      <c r="M10" s="7">
        <f t="shared" si="7"/>
        <v>0.875</v>
      </c>
      <c r="N10" s="7">
        <f t="shared" si="8"/>
        <v>0.375</v>
      </c>
      <c r="O10" s="7">
        <f t="shared" si="9"/>
        <v>0.625</v>
      </c>
      <c r="P10" s="7">
        <f t="shared" si="10"/>
        <v>0.625</v>
      </c>
      <c r="Q10" s="7">
        <f t="shared" si="11"/>
        <v>0.875</v>
      </c>
      <c r="R10" s="7">
        <f t="shared" si="12"/>
        <v>0.375</v>
      </c>
      <c r="S10" s="7">
        <f t="shared" si="13"/>
        <v>0.625</v>
      </c>
    </row>
    <row r="11" spans="1:19" x14ac:dyDescent="0.45">
      <c r="A11" t="s">
        <v>297</v>
      </c>
      <c r="B11">
        <v>4</v>
      </c>
      <c r="C11">
        <v>2</v>
      </c>
      <c r="D11" s="7">
        <v>0.375</v>
      </c>
      <c r="E11" s="7">
        <v>0.625</v>
      </c>
      <c r="F11" s="7">
        <f t="shared" si="0"/>
        <v>0.625</v>
      </c>
      <c r="G11" s="7">
        <f t="shared" si="1"/>
        <v>0.875</v>
      </c>
      <c r="H11" s="7">
        <f t="shared" si="2"/>
        <v>0.375</v>
      </c>
      <c r="I11" s="7">
        <f t="shared" si="3"/>
        <v>0.625</v>
      </c>
      <c r="J11" s="7">
        <f t="shared" si="4"/>
        <v>0.625</v>
      </c>
      <c r="K11" s="7">
        <f t="shared" si="5"/>
        <v>0.875</v>
      </c>
      <c r="L11" s="7">
        <f t="shared" si="6"/>
        <v>0.375</v>
      </c>
      <c r="M11" s="7">
        <f t="shared" si="7"/>
        <v>0.625</v>
      </c>
      <c r="N11" s="7">
        <f t="shared" si="8"/>
        <v>0.625</v>
      </c>
      <c r="O11" s="7">
        <f t="shared" si="9"/>
        <v>0.875</v>
      </c>
      <c r="P11" s="7">
        <f t="shared" si="10"/>
        <v>0.375</v>
      </c>
      <c r="Q11" s="7">
        <f t="shared" si="11"/>
        <v>0.625</v>
      </c>
      <c r="R11" s="7">
        <f t="shared" si="12"/>
        <v>0.625</v>
      </c>
      <c r="S11" s="7">
        <f t="shared" si="13"/>
        <v>0.875</v>
      </c>
    </row>
    <row r="12" spans="1:19" x14ac:dyDescent="0.45">
      <c r="A12" t="s">
        <v>299</v>
      </c>
      <c r="B12">
        <v>4</v>
      </c>
      <c r="C12">
        <v>2</v>
      </c>
      <c r="D12" s="7">
        <v>0.375</v>
      </c>
      <c r="E12" s="7">
        <v>0.625</v>
      </c>
      <c r="F12" s="7">
        <f t="shared" si="0"/>
        <v>0.625</v>
      </c>
      <c r="G12" s="7">
        <f t="shared" si="1"/>
        <v>0.875</v>
      </c>
      <c r="H12" s="7">
        <f t="shared" si="2"/>
        <v>0.375</v>
      </c>
      <c r="I12" s="7">
        <f t="shared" si="3"/>
        <v>0.625</v>
      </c>
      <c r="J12" s="7">
        <f t="shared" si="4"/>
        <v>0.625</v>
      </c>
      <c r="K12" s="7">
        <f t="shared" si="5"/>
        <v>0.875</v>
      </c>
      <c r="L12" s="7">
        <f t="shared" si="6"/>
        <v>0.375</v>
      </c>
      <c r="M12" s="7">
        <f t="shared" si="7"/>
        <v>0.625</v>
      </c>
      <c r="N12" s="7">
        <f t="shared" si="8"/>
        <v>0.625</v>
      </c>
      <c r="O12" s="7">
        <f t="shared" si="9"/>
        <v>0.875</v>
      </c>
      <c r="P12" s="7">
        <f t="shared" si="10"/>
        <v>0.375</v>
      </c>
      <c r="Q12" s="7">
        <f t="shared" si="11"/>
        <v>0.625</v>
      </c>
      <c r="R12" s="7">
        <f t="shared" si="12"/>
        <v>0.625</v>
      </c>
      <c r="S12" s="7">
        <f t="shared" si="13"/>
        <v>0.875</v>
      </c>
    </row>
    <row r="13" spans="1:19" x14ac:dyDescent="0.45">
      <c r="A13" t="s">
        <v>301</v>
      </c>
      <c r="B13">
        <v>4</v>
      </c>
      <c r="C13">
        <v>2</v>
      </c>
      <c r="D13" s="7">
        <v>0.625</v>
      </c>
      <c r="E13" s="7">
        <v>0.875</v>
      </c>
      <c r="F13" s="7">
        <f t="shared" si="0"/>
        <v>0.375</v>
      </c>
      <c r="G13" s="7">
        <f t="shared" si="1"/>
        <v>0.625</v>
      </c>
      <c r="H13" s="7">
        <f t="shared" si="2"/>
        <v>0.625</v>
      </c>
      <c r="I13" s="7">
        <f t="shared" si="3"/>
        <v>0.875</v>
      </c>
      <c r="J13" s="7">
        <f t="shared" si="4"/>
        <v>0.375</v>
      </c>
      <c r="K13" s="7">
        <f t="shared" si="5"/>
        <v>0.625</v>
      </c>
      <c r="L13" s="7">
        <f t="shared" si="6"/>
        <v>0.625</v>
      </c>
      <c r="M13" s="7">
        <f t="shared" si="7"/>
        <v>0.875</v>
      </c>
      <c r="N13" s="7">
        <f t="shared" si="8"/>
        <v>0.375</v>
      </c>
      <c r="O13" s="7">
        <f t="shared" si="9"/>
        <v>0.625</v>
      </c>
      <c r="P13" s="7">
        <f t="shared" si="10"/>
        <v>0.625</v>
      </c>
      <c r="Q13" s="7">
        <f t="shared" si="11"/>
        <v>0.875</v>
      </c>
      <c r="R13" s="7">
        <f t="shared" si="12"/>
        <v>0.375</v>
      </c>
      <c r="S13" s="7">
        <f t="shared" si="13"/>
        <v>0.625</v>
      </c>
    </row>
    <row r="14" spans="1:19" x14ac:dyDescent="0.45">
      <c r="A14" t="s">
        <v>303</v>
      </c>
      <c r="B14">
        <v>4</v>
      </c>
      <c r="C14">
        <v>2</v>
      </c>
      <c r="D14" s="7">
        <v>0.625</v>
      </c>
      <c r="E14" s="7">
        <v>0.875</v>
      </c>
      <c r="F14" s="7">
        <f t="shared" si="0"/>
        <v>0.375</v>
      </c>
      <c r="G14" s="7">
        <f t="shared" si="1"/>
        <v>0.625</v>
      </c>
      <c r="H14" s="7">
        <f t="shared" si="2"/>
        <v>0.625</v>
      </c>
      <c r="I14" s="7">
        <f t="shared" si="3"/>
        <v>0.875</v>
      </c>
      <c r="J14" s="7">
        <f t="shared" si="4"/>
        <v>0.375</v>
      </c>
      <c r="K14" s="7">
        <f t="shared" si="5"/>
        <v>0.625</v>
      </c>
      <c r="L14" s="7">
        <f t="shared" si="6"/>
        <v>0.625</v>
      </c>
      <c r="M14" s="7">
        <f t="shared" si="7"/>
        <v>0.875</v>
      </c>
      <c r="N14" s="7">
        <f t="shared" si="8"/>
        <v>0.375</v>
      </c>
      <c r="O14" s="7">
        <f t="shared" si="9"/>
        <v>0.625</v>
      </c>
      <c r="P14" s="7">
        <f t="shared" si="10"/>
        <v>0.625</v>
      </c>
      <c r="Q14" s="7">
        <f t="shared" si="11"/>
        <v>0.875</v>
      </c>
      <c r="R14" s="7">
        <f t="shared" si="12"/>
        <v>0.375</v>
      </c>
      <c r="S14" s="7">
        <f t="shared" si="13"/>
        <v>0.625</v>
      </c>
    </row>
    <row r="15" spans="1:19" x14ac:dyDescent="0.45">
      <c r="A15" t="s">
        <v>305</v>
      </c>
      <c r="B15">
        <v>4</v>
      </c>
      <c r="C15">
        <v>2</v>
      </c>
      <c r="D15" s="7">
        <v>0.375</v>
      </c>
      <c r="E15" s="7">
        <v>0.625</v>
      </c>
      <c r="F15" s="7">
        <f t="shared" si="0"/>
        <v>0.625</v>
      </c>
      <c r="G15" s="7">
        <f t="shared" si="1"/>
        <v>0.875</v>
      </c>
      <c r="H15" s="7">
        <f t="shared" si="2"/>
        <v>0.375</v>
      </c>
      <c r="I15" s="7">
        <f t="shared" si="3"/>
        <v>0.625</v>
      </c>
      <c r="J15" s="7">
        <f t="shared" si="4"/>
        <v>0.625</v>
      </c>
      <c r="K15" s="7">
        <f t="shared" si="5"/>
        <v>0.875</v>
      </c>
      <c r="L15" s="7">
        <f t="shared" si="6"/>
        <v>0.375</v>
      </c>
      <c r="M15" s="7">
        <f t="shared" si="7"/>
        <v>0.625</v>
      </c>
      <c r="N15" s="7">
        <f t="shared" si="8"/>
        <v>0.625</v>
      </c>
      <c r="O15" s="7">
        <f t="shared" si="9"/>
        <v>0.875</v>
      </c>
      <c r="P15" s="7">
        <f t="shared" si="10"/>
        <v>0.375</v>
      </c>
      <c r="Q15" s="7">
        <f t="shared" si="11"/>
        <v>0.625</v>
      </c>
      <c r="R15" s="7">
        <f t="shared" si="12"/>
        <v>0.625</v>
      </c>
      <c r="S15" s="7">
        <f t="shared" si="13"/>
        <v>0.875</v>
      </c>
    </row>
    <row r="16" spans="1:19" x14ac:dyDescent="0.45">
      <c r="A16" t="s">
        <v>307</v>
      </c>
      <c r="B16">
        <v>4</v>
      </c>
      <c r="C16">
        <v>2</v>
      </c>
      <c r="D16" s="7">
        <v>0.375</v>
      </c>
      <c r="E16" s="7">
        <v>0.625</v>
      </c>
      <c r="F16" s="7">
        <f t="shared" si="0"/>
        <v>0.625</v>
      </c>
      <c r="G16" s="7">
        <f t="shared" si="1"/>
        <v>0.875</v>
      </c>
      <c r="H16" s="7">
        <f t="shared" si="2"/>
        <v>0.375</v>
      </c>
      <c r="I16" s="7">
        <f t="shared" si="3"/>
        <v>0.625</v>
      </c>
      <c r="J16" s="7">
        <f t="shared" si="4"/>
        <v>0.625</v>
      </c>
      <c r="K16" s="7">
        <f t="shared" si="5"/>
        <v>0.875</v>
      </c>
      <c r="L16" s="7">
        <f t="shared" si="6"/>
        <v>0.375</v>
      </c>
      <c r="M16" s="7">
        <f t="shared" si="7"/>
        <v>0.625</v>
      </c>
      <c r="N16" s="7">
        <f t="shared" si="8"/>
        <v>0.625</v>
      </c>
      <c r="O16" s="7">
        <f t="shared" si="9"/>
        <v>0.875</v>
      </c>
      <c r="P16" s="7">
        <f t="shared" si="10"/>
        <v>0.375</v>
      </c>
      <c r="Q16" s="7">
        <f t="shared" si="11"/>
        <v>0.625</v>
      </c>
      <c r="R16" s="7">
        <f t="shared" si="12"/>
        <v>0.625</v>
      </c>
      <c r="S16" s="7">
        <f t="shared" si="13"/>
        <v>0.875</v>
      </c>
    </row>
    <row r="17" spans="1:19" x14ac:dyDescent="0.45">
      <c r="A17" t="s">
        <v>309</v>
      </c>
      <c r="B17">
        <v>4</v>
      </c>
      <c r="C17">
        <v>2</v>
      </c>
      <c r="D17" s="7">
        <v>0.375</v>
      </c>
      <c r="E17" s="7">
        <v>0.625</v>
      </c>
      <c r="F17" s="7">
        <f t="shared" si="0"/>
        <v>0.625</v>
      </c>
      <c r="G17" s="7">
        <f t="shared" si="1"/>
        <v>0.875</v>
      </c>
      <c r="H17" s="7">
        <f t="shared" si="2"/>
        <v>0.375</v>
      </c>
      <c r="I17" s="7">
        <f t="shared" si="3"/>
        <v>0.625</v>
      </c>
      <c r="J17" s="7">
        <f t="shared" si="4"/>
        <v>0.625</v>
      </c>
      <c r="K17" s="7">
        <f t="shared" si="5"/>
        <v>0.875</v>
      </c>
      <c r="L17" s="7">
        <f t="shared" si="6"/>
        <v>0.375</v>
      </c>
      <c r="M17" s="7">
        <f t="shared" si="7"/>
        <v>0.625</v>
      </c>
      <c r="N17" s="7">
        <f t="shared" si="8"/>
        <v>0.625</v>
      </c>
      <c r="O17" s="7">
        <f t="shared" si="9"/>
        <v>0.875</v>
      </c>
      <c r="P17" s="7">
        <f t="shared" si="10"/>
        <v>0.375</v>
      </c>
      <c r="Q17" s="7">
        <f t="shared" si="11"/>
        <v>0.625</v>
      </c>
      <c r="R17" s="7">
        <f t="shared" si="12"/>
        <v>0.625</v>
      </c>
      <c r="S17" s="7">
        <f t="shared" si="13"/>
        <v>0.875</v>
      </c>
    </row>
    <row r="18" spans="1:19" x14ac:dyDescent="0.45">
      <c r="A18" t="s">
        <v>311</v>
      </c>
      <c r="B18">
        <v>4</v>
      </c>
      <c r="C18">
        <v>2</v>
      </c>
      <c r="D18" s="7">
        <v>0.625</v>
      </c>
      <c r="E18" s="7">
        <v>0.875</v>
      </c>
      <c r="F18" s="7">
        <f t="shared" si="0"/>
        <v>0.375</v>
      </c>
      <c r="G18" s="7">
        <f t="shared" si="1"/>
        <v>0.625</v>
      </c>
      <c r="H18" s="7">
        <f t="shared" si="2"/>
        <v>0.625</v>
      </c>
      <c r="I18" s="7">
        <f t="shared" si="3"/>
        <v>0.875</v>
      </c>
      <c r="J18" s="10">
        <v>0.375</v>
      </c>
      <c r="K18" s="10">
        <v>0.54166666666666663</v>
      </c>
      <c r="L18" s="10">
        <v>0.375</v>
      </c>
      <c r="M18" s="10">
        <v>0.54166666666666663</v>
      </c>
      <c r="N18" s="10">
        <v>0.375</v>
      </c>
      <c r="O18" s="10">
        <v>0.54166666666666663</v>
      </c>
      <c r="P18" s="10">
        <v>0.375</v>
      </c>
      <c r="Q18" s="10">
        <v>0.54166666666666663</v>
      </c>
      <c r="R18" s="10">
        <v>0.375</v>
      </c>
      <c r="S18" s="10">
        <v>0.54166666666666663</v>
      </c>
    </row>
    <row r="19" spans="1:19" x14ac:dyDescent="0.45">
      <c r="A19" t="s">
        <v>313</v>
      </c>
      <c r="B19">
        <v>4</v>
      </c>
      <c r="C19">
        <v>2</v>
      </c>
      <c r="D19" s="7">
        <v>0.375</v>
      </c>
      <c r="E19" s="7">
        <v>0.625</v>
      </c>
      <c r="F19" s="7">
        <f t="shared" si="0"/>
        <v>0.625</v>
      </c>
      <c r="G19" s="7">
        <f t="shared" si="1"/>
        <v>0.875</v>
      </c>
      <c r="H19" s="7">
        <f t="shared" si="2"/>
        <v>0.375</v>
      </c>
      <c r="I19" s="7">
        <f t="shared" si="3"/>
        <v>0.625</v>
      </c>
      <c r="J19" s="7">
        <f>+IF(H19*24=9,15/24,9/24)</f>
        <v>0.625</v>
      </c>
      <c r="K19" s="7">
        <f>+IF(H19*24=9,21/24,15/24)</f>
        <v>0.875</v>
      </c>
      <c r="L19" s="7">
        <f>+IF(J19*24=9,15/24,9/24)</f>
        <v>0.375</v>
      </c>
      <c r="M19" s="7">
        <f>+IF(J19*24=9,21/24,15/24)</f>
        <v>0.625</v>
      </c>
      <c r="N19" s="7">
        <f>+IF(L19*24=9,15/24,9/24)</f>
        <v>0.625</v>
      </c>
      <c r="O19" s="7">
        <f>+IF(L19*24=9,21/24,15/24)</f>
        <v>0.875</v>
      </c>
      <c r="P19" s="7">
        <f>+IF(N19*24=9,15/24,9/24)</f>
        <v>0.375</v>
      </c>
      <c r="Q19" s="7">
        <f>+IF(N19*24=9,21/24,15/24)</f>
        <v>0.625</v>
      </c>
      <c r="R19" s="7">
        <f>+IF(P19*24=9,15/24,9/24)</f>
        <v>0.625</v>
      </c>
      <c r="S19" s="7">
        <f>+IF(P19*24=9,21/24,15/24)</f>
        <v>0.875</v>
      </c>
    </row>
    <row r="20" spans="1:19" x14ac:dyDescent="0.45">
      <c r="A20" t="s">
        <v>315</v>
      </c>
      <c r="B20">
        <v>4</v>
      </c>
      <c r="C20">
        <v>2</v>
      </c>
      <c r="D20" s="7">
        <v>0.375</v>
      </c>
      <c r="E20" s="7">
        <v>0.625</v>
      </c>
      <c r="F20" s="7">
        <f t="shared" si="0"/>
        <v>0.625</v>
      </c>
      <c r="G20" s="7">
        <f t="shared" si="1"/>
        <v>0.875</v>
      </c>
      <c r="H20" s="7">
        <f t="shared" si="2"/>
        <v>0.375</v>
      </c>
      <c r="I20" s="7">
        <f t="shared" si="3"/>
        <v>0.625</v>
      </c>
      <c r="J20" s="7">
        <f>+IF(H20*24=9,15/24,9/24)</f>
        <v>0.625</v>
      </c>
      <c r="K20" s="7">
        <f>+IF(H20*24=9,21/24,15/24)</f>
        <v>0.875</v>
      </c>
      <c r="L20" s="7">
        <f>+IF(J20*24=9,15/24,9/24)</f>
        <v>0.375</v>
      </c>
      <c r="M20" s="7">
        <f>+IF(J20*24=9,21/24,15/24)</f>
        <v>0.625</v>
      </c>
      <c r="N20" s="7">
        <f>+IF(L20*24=9,15/24,9/24)</f>
        <v>0.625</v>
      </c>
      <c r="O20" s="7">
        <f>+IF(L20*24=9,21/24,15/24)</f>
        <v>0.875</v>
      </c>
      <c r="P20" s="7">
        <f>+IF(N20*24=9,15/24,9/24)</f>
        <v>0.375</v>
      </c>
      <c r="Q20" s="7">
        <f>+IF(N20*24=9,21/24,15/24)</f>
        <v>0.625</v>
      </c>
      <c r="R20" s="7">
        <f>+IF(P20*24=9,15/24,9/24)</f>
        <v>0.625</v>
      </c>
      <c r="S20" s="7">
        <f>+IF(P20*24=9,21/24,15/24)</f>
        <v>0.875</v>
      </c>
    </row>
    <row r="21" spans="1:19" x14ac:dyDescent="0.45">
      <c r="A21" t="s">
        <v>317</v>
      </c>
      <c r="B21">
        <v>4</v>
      </c>
      <c r="C21">
        <v>2</v>
      </c>
      <c r="D21" s="7">
        <v>0.375</v>
      </c>
      <c r="E21" s="7">
        <v>0.625</v>
      </c>
      <c r="F21" s="7">
        <f t="shared" si="0"/>
        <v>0.625</v>
      </c>
      <c r="G21" s="7">
        <f t="shared" si="1"/>
        <v>0.875</v>
      </c>
      <c r="H21" s="7">
        <f t="shared" si="2"/>
        <v>0.375</v>
      </c>
      <c r="I21" s="7">
        <f t="shared" si="3"/>
        <v>0.625</v>
      </c>
      <c r="J21" s="7">
        <f>+IF(H21*24=9,15/24,9/24)</f>
        <v>0.625</v>
      </c>
      <c r="K21" s="7">
        <f>+IF(H21*24=9,21/24,15/24)</f>
        <v>0.875</v>
      </c>
      <c r="L21" s="7">
        <f>+IF(J21*24=9,15/24,9/24)</f>
        <v>0.375</v>
      </c>
      <c r="M21" s="7">
        <f>+IF(J21*24=9,21/24,15/24)</f>
        <v>0.625</v>
      </c>
      <c r="N21" s="7">
        <f>+IF(L21*24=9,15/24,9/24)</f>
        <v>0.625</v>
      </c>
      <c r="O21" s="7">
        <f>+IF(L21*24=9,21/24,15/24)</f>
        <v>0.875</v>
      </c>
      <c r="P21" s="7">
        <f>+IF(N21*24=9,15/24,9/24)</f>
        <v>0.375</v>
      </c>
      <c r="Q21" s="7">
        <f>+IF(N21*24=9,21/24,15/24)</f>
        <v>0.625</v>
      </c>
      <c r="R21" s="7">
        <f>+IF(P21*24=9,15/24,9/24)</f>
        <v>0.625</v>
      </c>
      <c r="S21" s="7">
        <f>+IF(P21*24=9,21/24,15/24)</f>
        <v>0.875</v>
      </c>
    </row>
    <row r="22" spans="1:19" x14ac:dyDescent="0.45">
      <c r="A22" t="s">
        <v>319</v>
      </c>
      <c r="B22">
        <v>4</v>
      </c>
      <c r="C22">
        <v>2</v>
      </c>
      <c r="D22" s="7">
        <v>0.375</v>
      </c>
      <c r="E22" s="7">
        <v>0.625</v>
      </c>
      <c r="F22" s="7">
        <f t="shared" si="0"/>
        <v>0.625</v>
      </c>
      <c r="G22" s="7">
        <f t="shared" si="1"/>
        <v>0.875</v>
      </c>
      <c r="H22" s="7">
        <f t="shared" si="2"/>
        <v>0.375</v>
      </c>
      <c r="I22" s="7">
        <f t="shared" si="3"/>
        <v>0.625</v>
      </c>
      <c r="J22" s="7">
        <f>+IF(H22*24=9,15/24,9/24)</f>
        <v>0.625</v>
      </c>
      <c r="K22" s="7">
        <f>+IF(H22*24=9,21/24,15/24)</f>
        <v>0.875</v>
      </c>
      <c r="L22" s="7">
        <f>+IF(J22*24=9,15/24,9/24)</f>
        <v>0.375</v>
      </c>
      <c r="M22" s="7">
        <f>+IF(J22*24=9,21/24,15/24)</f>
        <v>0.625</v>
      </c>
      <c r="N22" s="7">
        <f>+IF(L22*24=9,15/24,9/24)</f>
        <v>0.625</v>
      </c>
      <c r="O22" s="7">
        <f>+IF(L22*24=9,21/24,15/24)</f>
        <v>0.875</v>
      </c>
      <c r="P22" s="7">
        <f>+IF(N22*24=9,15/24,9/24)</f>
        <v>0.375</v>
      </c>
      <c r="Q22" s="7">
        <f>+IF(N22*24=9,21/24,15/24)</f>
        <v>0.625</v>
      </c>
      <c r="R22" s="7">
        <f>+IF(P22*24=9,15/24,9/24)</f>
        <v>0.625</v>
      </c>
      <c r="S22" s="7">
        <f>+IF(P22*24=9,21/24,15/24)</f>
        <v>0.875</v>
      </c>
    </row>
  </sheetData>
  <mergeCells count="8">
    <mergeCell ref="R1:S1"/>
    <mergeCell ref="D1:E1"/>
    <mergeCell ref="H1:I1"/>
    <mergeCell ref="L1:M1"/>
    <mergeCell ref="J1:K1"/>
    <mergeCell ref="P1:Q1"/>
    <mergeCell ref="F1:G1"/>
    <mergeCell ref="N1:O1"/>
  </mergeCells>
  <conditionalFormatting sqref="A3:A22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L21"/>
  <sheetViews>
    <sheetView workbookViewId="0">
      <selection activeCell="F6" sqref="F6"/>
    </sheetView>
  </sheetViews>
  <sheetFormatPr defaultRowHeight="14.25" x14ac:dyDescent="0.45"/>
  <cols>
    <col min="1" max="1" width="17.265625" bestFit="1" customWidth="1"/>
    <col min="2" max="7" width="10.59765625" style="4" bestFit="1" customWidth="1"/>
    <col min="8" max="8" width="9" style="4" bestFit="1" customWidth="1"/>
  </cols>
  <sheetData>
    <row r="1" spans="1:12" x14ac:dyDescent="0.45">
      <c r="B1" s="4" t="s">
        <v>320</v>
      </c>
      <c r="C1" s="4" t="s">
        <v>321</v>
      </c>
      <c r="D1" s="4" t="s">
        <v>322</v>
      </c>
      <c r="E1" s="4" t="s">
        <v>323</v>
      </c>
      <c r="F1" s="4" t="s">
        <v>324</v>
      </c>
      <c r="G1" s="4" t="s">
        <v>325</v>
      </c>
      <c r="H1" s="4" t="s">
        <v>271</v>
      </c>
      <c r="L1" t="s">
        <v>320</v>
      </c>
    </row>
    <row r="2" spans="1:12" x14ac:dyDescent="0.45">
      <c r="A2" t="str">
        <f>+Risorse!B2</f>
        <v>Ferranti Margherita</v>
      </c>
      <c r="B2" s="9" t="str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9" t="str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9" t="str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9" t="str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9" t="str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9" t="str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9" t="str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L2" t="s">
        <v>321</v>
      </c>
    </row>
    <row r="3" spans="1:12" x14ac:dyDescent="0.45">
      <c r="A3" t="str">
        <f>+Risorse!B3</f>
        <v>Inserra Maria Rita</v>
      </c>
      <c r="B3" s="9" t="str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9" t="str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9" t="str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9" t="str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9" t="str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9" t="str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9" t="str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L3" t="s">
        <v>322</v>
      </c>
    </row>
    <row r="4" spans="1:12" x14ac:dyDescent="0.45">
      <c r="A4" t="str">
        <f>+Risorse!B4</f>
        <v>Petta Vanessa</v>
      </c>
      <c r="B4" s="9" t="str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9" t="str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9" t="str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9" t="str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9" t="str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9" t="str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9" t="str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L4" t="s">
        <v>323</v>
      </c>
    </row>
    <row r="5" spans="1:12" x14ac:dyDescent="0.45">
      <c r="A5" t="str">
        <f>+Risorse!B5</f>
        <v>Sole Valentina</v>
      </c>
      <c r="B5" s="9" t="str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9" t="str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9" t="str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9" t="str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9" t="str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9" t="str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9" t="str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L5" t="s">
        <v>324</v>
      </c>
    </row>
    <row r="6" spans="1:12" x14ac:dyDescent="0.45">
      <c r="A6" t="str">
        <f>+Risorse!B6</f>
        <v>Albanese Carmelino</v>
      </c>
      <c r="B6" s="9" t="str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9" t="str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9" t="str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9" t="str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9" t="str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9" t="str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9" t="str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L6" t="s">
        <v>325</v>
      </c>
    </row>
    <row r="7" spans="1:12" x14ac:dyDescent="0.45">
      <c r="A7" t="str">
        <f>+Risorse!B7</f>
        <v>Borsellino Antonino</v>
      </c>
      <c r="B7" s="9" t="str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9" t="str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9" t="str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9" t="str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9" t="str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9" t="str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9" t="str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</row>
    <row r="8" spans="1:12" x14ac:dyDescent="0.45">
      <c r="A8" t="str">
        <f>+Risorse!B8</f>
        <v>Burgio Rosa</v>
      </c>
      <c r="B8" s="9" t="str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9" t="str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9" t="str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9" t="str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9" t="str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9" t="str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9" t="str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</row>
    <row r="9" spans="1:12" x14ac:dyDescent="0.45">
      <c r="A9" t="str">
        <f>+Risorse!B9</f>
        <v>Cannella Davide</v>
      </c>
      <c r="B9" s="9" t="str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9" t="str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9" t="str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9" t="str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9" t="str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9" t="str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9" t="str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</row>
    <row r="10" spans="1:12" x14ac:dyDescent="0.45">
      <c r="A10" t="str">
        <f>+Risorse!B10</f>
        <v>Cipolla Giuseppe</v>
      </c>
      <c r="B10" s="9" t="str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9" t="str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9" t="str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9" t="str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9" t="str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9" t="str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9" t="str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</row>
    <row r="11" spans="1:12" x14ac:dyDescent="0.45">
      <c r="A11" t="str">
        <f>+Risorse!B11</f>
        <v>Consentino Dario</v>
      </c>
      <c r="B11" s="9" t="str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9" t="str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9" t="str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9" t="str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9" t="str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9" t="str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9" t="str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</row>
    <row r="12" spans="1:12" x14ac:dyDescent="0.45">
      <c r="A12" t="str">
        <f>+Risorse!B12</f>
        <v>D'acquisto Armida</v>
      </c>
      <c r="B12" s="9" t="str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9" t="str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9" t="str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9" t="str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9" t="str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9" t="str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9" t="str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</row>
    <row r="13" spans="1:12" x14ac:dyDescent="0.45">
      <c r="A13" t="str">
        <f>+Risorse!B13</f>
        <v>D'acquisto Rosa</v>
      </c>
      <c r="B13" s="9" t="str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9" t="str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9" t="str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9" t="str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9" t="str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9" t="str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9" t="str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</row>
    <row r="14" spans="1:12" x14ac:dyDescent="0.45">
      <c r="A14" t="str">
        <f>+Risorse!B14</f>
        <v>Federico Filippo</v>
      </c>
      <c r="B14" s="9" t="str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9" t="str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9" t="str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9" t="str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9" t="str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9" t="str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9" t="str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</row>
    <row r="15" spans="1:12" x14ac:dyDescent="0.45">
      <c r="A15" t="str">
        <f>+Risorse!B15</f>
        <v>Greco Loredana</v>
      </c>
      <c r="B15" s="9" t="str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9" t="str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9" t="str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9" t="str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9" t="str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9" t="str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9" t="str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</row>
    <row r="16" spans="1:12" x14ac:dyDescent="0.45">
      <c r="A16" t="str">
        <f>+Risorse!B16</f>
        <v>Gullo Patrizia</v>
      </c>
      <c r="B16" s="9" t="str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9" t="str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9" t="str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9" t="str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9" t="str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9" t="str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9" t="str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</row>
    <row r="17" spans="1:8" x14ac:dyDescent="0.45">
      <c r="A17" t="str">
        <f>+Risorse!B17</f>
        <v>Imparato Emanuele</v>
      </c>
      <c r="B17" s="9" t="str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9" t="str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9" t="str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9" t="str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9" t="str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9" t="str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9" t="str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</row>
    <row r="18" spans="1:8" x14ac:dyDescent="0.45">
      <c r="A18" t="str">
        <f>+Risorse!B18</f>
        <v>Librino Rosa Maria</v>
      </c>
      <c r="B18" s="9" t="str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9" t="str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9" t="str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9" t="str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9" t="str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9" t="str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9" t="str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</row>
    <row r="19" spans="1:8" x14ac:dyDescent="0.45">
      <c r="A19" t="str">
        <f>+Risorse!B19</f>
        <v>Lo Casto Anna</v>
      </c>
      <c r="B19" s="9" t="str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9" t="str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9" t="str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9" t="str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9" t="str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9" t="str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9" t="str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</row>
    <row r="20" spans="1:8" x14ac:dyDescent="0.45">
      <c r="A20" t="str">
        <f>+Risorse!B20</f>
        <v>Mancuso Vito</v>
      </c>
      <c r="B20" s="9" t="str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9" t="str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9" t="str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9" t="str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9" t="str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9" t="str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9" t="str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</row>
    <row r="21" spans="1:8" x14ac:dyDescent="0.45">
      <c r="A21" t="str">
        <f>+Risorse!B21</f>
        <v>Renna Barbara</v>
      </c>
      <c r="B21" s="9" t="str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9" t="str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9" t="str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9" t="str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9" t="str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9" t="str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9" t="str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I1:P96"/>
  <sheetViews>
    <sheetView workbookViewId="0">
      <selection activeCell="I22" sqref="I22"/>
    </sheetView>
  </sheetViews>
  <sheetFormatPr defaultRowHeight="14.25" x14ac:dyDescent="0.45"/>
  <cols>
    <col min="9" max="9" width="11.86328125" customWidth="1"/>
  </cols>
  <sheetData>
    <row r="1" spans="9:16" x14ac:dyDescent="0.45">
      <c r="I1" t="s">
        <v>0</v>
      </c>
    </row>
    <row r="2" spans="9:16" x14ac:dyDescent="0.45">
      <c r="I2" t="s">
        <v>8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 x14ac:dyDescent="0.45">
      <c r="I3" t="s">
        <v>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 x14ac:dyDescent="0.45">
      <c r="I4" t="s">
        <v>10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 x14ac:dyDescent="0.45">
      <c r="I5" t="s">
        <v>11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 x14ac:dyDescent="0.45">
      <c r="I6" t="s">
        <v>12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 x14ac:dyDescent="0.45">
      <c r="I7" t="s">
        <v>13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 x14ac:dyDescent="0.45">
      <c r="I8" t="s">
        <v>14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 x14ac:dyDescent="0.45">
      <c r="I9" t="s">
        <v>15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 x14ac:dyDescent="0.45">
      <c r="I10" t="s">
        <v>16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 x14ac:dyDescent="0.45">
      <c r="I11" t="s">
        <v>17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 x14ac:dyDescent="0.45">
      <c r="I12" t="s">
        <v>18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 x14ac:dyDescent="0.45">
      <c r="I13" t="s">
        <v>19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 x14ac:dyDescent="0.45">
      <c r="I14" t="s">
        <v>20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 x14ac:dyDescent="0.45">
      <c r="I15" t="s">
        <v>21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 x14ac:dyDescent="0.45">
      <c r="I16" t="s">
        <v>22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 x14ac:dyDescent="0.45">
      <c r="I17" t="s">
        <v>23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 x14ac:dyDescent="0.45">
      <c r="I18" t="s">
        <v>24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 x14ac:dyDescent="0.45">
      <c r="I19" t="s">
        <v>25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 x14ac:dyDescent="0.45">
      <c r="I20" t="s">
        <v>26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 x14ac:dyDescent="0.45">
      <c r="I21" t="s">
        <v>27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 x14ac:dyDescent="0.45">
      <c r="I22" t="s">
        <v>28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 x14ac:dyDescent="0.45">
      <c r="I23" t="s">
        <v>29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 x14ac:dyDescent="0.45">
      <c r="I24" t="s">
        <v>30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 x14ac:dyDescent="0.45">
      <c r="I25" t="s">
        <v>31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 x14ac:dyDescent="0.45">
      <c r="I26" t="s">
        <v>32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 x14ac:dyDescent="0.45">
      <c r="I27" t="s">
        <v>33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 x14ac:dyDescent="0.45">
      <c r="I28" t="s">
        <v>34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 x14ac:dyDescent="0.45">
      <c r="I29" t="s">
        <v>35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 x14ac:dyDescent="0.45">
      <c r="I30" t="s">
        <v>36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 x14ac:dyDescent="0.45">
      <c r="I31" t="s">
        <v>37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 x14ac:dyDescent="0.45">
      <c r="I32" t="s">
        <v>38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 x14ac:dyDescent="0.45">
      <c r="I33" t="s">
        <v>39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 x14ac:dyDescent="0.45">
      <c r="I34" t="s">
        <v>40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 x14ac:dyDescent="0.45">
      <c r="I35" t="s">
        <v>41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 x14ac:dyDescent="0.45">
      <c r="I36" t="s">
        <v>42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 x14ac:dyDescent="0.45">
      <c r="I37" t="s">
        <v>43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 x14ac:dyDescent="0.45">
      <c r="I38" t="s">
        <v>44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 x14ac:dyDescent="0.45">
      <c r="I39" t="s">
        <v>45</v>
      </c>
      <c r="J39" s="5">
        <v>14</v>
      </c>
      <c r="K39" s="5">
        <v>14.802545548263049</v>
      </c>
      <c r="L39" s="5">
        <v>14.802545548263049</v>
      </c>
      <c r="M39" s="5">
        <v>14.802545548263049</v>
      </c>
      <c r="N39" s="5">
        <v>14.802545548263049</v>
      </c>
      <c r="O39" s="4">
        <v>8</v>
      </c>
      <c r="P39" s="5">
        <v>0</v>
      </c>
    </row>
    <row r="40" spans="9:16" x14ac:dyDescent="0.45">
      <c r="I40" t="s">
        <v>46</v>
      </c>
      <c r="J40" s="5">
        <v>14</v>
      </c>
      <c r="K40" s="5">
        <v>14.802545548263049</v>
      </c>
      <c r="L40" s="5">
        <v>14.802545548263049</v>
      </c>
      <c r="M40" s="5">
        <v>14.802545548263049</v>
      </c>
      <c r="N40" s="5">
        <v>14.802545548263049</v>
      </c>
      <c r="O40" s="4">
        <v>9</v>
      </c>
      <c r="P40" s="5">
        <v>0</v>
      </c>
    </row>
    <row r="41" spans="9:16" x14ac:dyDescent="0.45">
      <c r="I41" t="s">
        <v>47</v>
      </c>
      <c r="J41" s="5">
        <v>18</v>
      </c>
      <c r="K41" s="5">
        <v>18.43063014801464</v>
      </c>
      <c r="L41" s="5">
        <v>18.43063014801464</v>
      </c>
      <c r="M41" s="5">
        <v>18.43063014801464</v>
      </c>
      <c r="N41" s="5">
        <v>18.43063014801464</v>
      </c>
      <c r="O41" s="4">
        <v>11</v>
      </c>
      <c r="P41" s="5">
        <v>0</v>
      </c>
    </row>
    <row r="42" spans="9:16" x14ac:dyDescent="0.45">
      <c r="I42" t="s">
        <v>48</v>
      </c>
      <c r="J42" s="5">
        <v>18</v>
      </c>
      <c r="K42" s="5">
        <v>18.43063014801464</v>
      </c>
      <c r="L42" s="5">
        <v>18.43063014801464</v>
      </c>
      <c r="M42" s="5">
        <v>18.43063014801464</v>
      </c>
      <c r="N42" s="5">
        <v>18.43063014801464</v>
      </c>
      <c r="O42" s="4">
        <v>11</v>
      </c>
      <c r="P42" s="5">
        <v>0</v>
      </c>
    </row>
    <row r="43" spans="9:16" x14ac:dyDescent="0.45">
      <c r="I43" t="s">
        <v>49</v>
      </c>
      <c r="J43" s="5">
        <v>17</v>
      </c>
      <c r="K43" s="5">
        <v>17.5928742321958</v>
      </c>
      <c r="L43" s="5">
        <v>17.5928742321958</v>
      </c>
      <c r="M43" s="5">
        <v>17.5928742321958</v>
      </c>
      <c r="N43" s="5">
        <v>17.5928742321958</v>
      </c>
      <c r="O43" s="4">
        <v>11</v>
      </c>
      <c r="P43" s="5">
        <v>0</v>
      </c>
    </row>
    <row r="44" spans="9:16" x14ac:dyDescent="0.45">
      <c r="I44" t="s">
        <v>50</v>
      </c>
      <c r="J44" s="5">
        <v>17</v>
      </c>
      <c r="K44" s="5">
        <v>17.415907283776441</v>
      </c>
      <c r="L44" s="5">
        <v>17.415907283776441</v>
      </c>
      <c r="M44" s="5">
        <v>17.415907283776441</v>
      </c>
      <c r="N44" s="5">
        <v>17.415907283776441</v>
      </c>
      <c r="O44" s="4">
        <v>9</v>
      </c>
      <c r="P44" s="5">
        <v>0</v>
      </c>
    </row>
    <row r="45" spans="9:16" x14ac:dyDescent="0.45">
      <c r="I45" t="s">
        <v>51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6.5802592223330034</v>
      </c>
    </row>
    <row r="46" spans="9:16" x14ac:dyDescent="0.45">
      <c r="I46" t="s">
        <v>52</v>
      </c>
      <c r="J46" s="5">
        <v>16</v>
      </c>
      <c r="K46" s="5">
        <v>16.586578365501381</v>
      </c>
      <c r="L46" s="5">
        <v>16.586578365501381</v>
      </c>
      <c r="M46" s="5">
        <v>16.586578365501381</v>
      </c>
      <c r="N46" s="5">
        <v>16.586578365501381</v>
      </c>
      <c r="O46" s="4">
        <v>9</v>
      </c>
      <c r="P46" s="5">
        <v>6.5227059346741134</v>
      </c>
    </row>
    <row r="47" spans="9:16" x14ac:dyDescent="0.45">
      <c r="I47" t="s">
        <v>53</v>
      </c>
      <c r="J47" s="5">
        <v>14</v>
      </c>
      <c r="K47" s="5">
        <v>14.521102540860021</v>
      </c>
      <c r="L47" s="5">
        <v>14.521102540860021</v>
      </c>
      <c r="M47" s="5">
        <v>14.521102540860021</v>
      </c>
      <c r="N47" s="5">
        <v>14.521102540860021</v>
      </c>
      <c r="O47" s="4">
        <v>12</v>
      </c>
      <c r="P47" s="5">
        <v>3.2901296111665008</v>
      </c>
    </row>
    <row r="48" spans="9:16" x14ac:dyDescent="0.45">
      <c r="I48" t="s">
        <v>54</v>
      </c>
      <c r="J48" s="5">
        <v>14</v>
      </c>
      <c r="K48" s="5">
        <v>14.68524461931737</v>
      </c>
      <c r="L48" s="5">
        <v>14.68524461931737</v>
      </c>
      <c r="M48" s="5">
        <v>14.68524461931737</v>
      </c>
      <c r="N48" s="5">
        <v>14.68524461931737</v>
      </c>
      <c r="O48" s="4">
        <v>11</v>
      </c>
      <c r="P48" s="5">
        <v>3.2901296111665008</v>
      </c>
    </row>
    <row r="49" spans="9:16" x14ac:dyDescent="0.45">
      <c r="I49" t="s">
        <v>55</v>
      </c>
      <c r="J49" s="5">
        <v>14</v>
      </c>
      <c r="K49" s="5">
        <v>14.55726066471675</v>
      </c>
      <c r="L49" s="5">
        <v>14.55726066471675</v>
      </c>
      <c r="M49" s="5">
        <v>14.55726066471675</v>
      </c>
      <c r="N49" s="5">
        <v>14.55726066471675</v>
      </c>
      <c r="O49" s="4">
        <v>11</v>
      </c>
      <c r="P49" s="5">
        <v>3.986098071189736</v>
      </c>
    </row>
    <row r="50" spans="9:16" x14ac:dyDescent="0.45">
      <c r="I50" t="s">
        <v>56</v>
      </c>
      <c r="J50" s="5">
        <v>14</v>
      </c>
      <c r="K50" s="5">
        <v>14.68524461931737</v>
      </c>
      <c r="L50" s="5">
        <v>14.68524461931737</v>
      </c>
      <c r="M50" s="5">
        <v>14.68524461931737</v>
      </c>
      <c r="N50" s="5">
        <v>14.68524461931737</v>
      </c>
      <c r="O50" s="4">
        <v>11</v>
      </c>
      <c r="P50" s="5">
        <v>3.986098071189736</v>
      </c>
    </row>
    <row r="51" spans="9:16" x14ac:dyDescent="0.45">
      <c r="I51" t="s">
        <v>57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</v>
      </c>
    </row>
    <row r="52" spans="9:16" x14ac:dyDescent="0.45">
      <c r="I52" t="s">
        <v>58</v>
      </c>
      <c r="J52" s="5">
        <v>12</v>
      </c>
      <c r="K52" s="5">
        <v>12.373170254849679</v>
      </c>
      <c r="L52" s="5">
        <v>12.373170254849679</v>
      </c>
      <c r="M52" s="5">
        <v>12.373170254849679</v>
      </c>
      <c r="N52" s="5">
        <v>12.373170254849679</v>
      </c>
      <c r="O52" s="4">
        <v>12</v>
      </c>
      <c r="P52" s="5">
        <v>1.515777869643103</v>
      </c>
    </row>
    <row r="53" spans="9:16" x14ac:dyDescent="0.45">
      <c r="I53" t="s">
        <v>59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 x14ac:dyDescent="0.45">
      <c r="I54" t="s">
        <v>60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2.5001623482044288</v>
      </c>
    </row>
    <row r="55" spans="9:16" x14ac:dyDescent="0.45">
      <c r="I55" t="s">
        <v>61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2.174235311558038</v>
      </c>
    </row>
    <row r="56" spans="9:16" x14ac:dyDescent="0.45">
      <c r="I56" t="s">
        <v>62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2.174235311558038</v>
      </c>
    </row>
    <row r="57" spans="9:16" x14ac:dyDescent="0.45">
      <c r="I57" t="s">
        <v>63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2.5589896975739461</v>
      </c>
    </row>
    <row r="58" spans="9:16" x14ac:dyDescent="0.45">
      <c r="I58" t="s">
        <v>64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2.5589896975739461</v>
      </c>
    </row>
    <row r="59" spans="9:16" x14ac:dyDescent="0.45">
      <c r="I59" t="s">
        <v>65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1.4622798271851121</v>
      </c>
    </row>
    <row r="60" spans="9:16" x14ac:dyDescent="0.45">
      <c r="I60" t="s">
        <v>66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</v>
      </c>
    </row>
    <row r="61" spans="9:16" x14ac:dyDescent="0.45">
      <c r="I61" t="s">
        <v>67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 x14ac:dyDescent="0.45">
      <c r="I62" t="s">
        <v>68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 x14ac:dyDescent="0.45">
      <c r="I63" t="s">
        <v>69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 x14ac:dyDescent="0.45">
      <c r="I64" t="s">
        <v>70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1.0967098703888341</v>
      </c>
    </row>
    <row r="65" spans="9:16" x14ac:dyDescent="0.45">
      <c r="I65" t="s">
        <v>71</v>
      </c>
      <c r="J65" s="5">
        <v>11</v>
      </c>
      <c r="K65" s="5">
        <v>11.506109798451661</v>
      </c>
      <c r="L65" s="5">
        <v>11.506109798451661</v>
      </c>
      <c r="M65" s="5">
        <v>11.506109798451661</v>
      </c>
      <c r="N65" s="5">
        <v>11.506109798451661</v>
      </c>
      <c r="O65" s="4">
        <v>5</v>
      </c>
      <c r="P65" s="5">
        <v>1.846469645957431</v>
      </c>
    </row>
    <row r="66" spans="9:16" x14ac:dyDescent="0.45">
      <c r="I66" t="s">
        <v>72</v>
      </c>
      <c r="J66" s="5">
        <v>11</v>
      </c>
      <c r="K66" s="5">
        <v>11.580278963461019</v>
      </c>
      <c r="L66" s="5">
        <v>11.580278963461019</v>
      </c>
      <c r="M66" s="5">
        <v>11.580278963461019</v>
      </c>
      <c r="N66" s="5">
        <v>11.580278963461019</v>
      </c>
      <c r="O66" s="4">
        <v>5</v>
      </c>
      <c r="P66" s="5">
        <v>1.846469645957431</v>
      </c>
    </row>
    <row r="67" spans="9:16" x14ac:dyDescent="0.45">
      <c r="I67" t="s">
        <v>73</v>
      </c>
      <c r="J67" s="5">
        <v>13</v>
      </c>
      <c r="K67" s="5">
        <v>13.620283370968719</v>
      </c>
      <c r="L67" s="5">
        <v>13.620283370968719</v>
      </c>
      <c r="M67" s="5">
        <v>13.620283370968719</v>
      </c>
      <c r="N67" s="5">
        <v>13.620283370968719</v>
      </c>
      <c r="O67" s="4">
        <v>6</v>
      </c>
      <c r="P67" s="5">
        <v>3.692939291914862</v>
      </c>
    </row>
    <row r="68" spans="9:16" x14ac:dyDescent="0.45">
      <c r="I68" t="s">
        <v>74</v>
      </c>
      <c r="J68" s="5">
        <v>13</v>
      </c>
      <c r="K68" s="5">
        <v>13.70734484137974</v>
      </c>
      <c r="L68" s="5">
        <v>13.70734484137974</v>
      </c>
      <c r="M68" s="5">
        <v>13.70734484137974</v>
      </c>
      <c r="N68" s="5">
        <v>13.70734484137974</v>
      </c>
      <c r="O68" s="4">
        <v>5</v>
      </c>
      <c r="P68" s="5">
        <v>3.789444674107759</v>
      </c>
    </row>
    <row r="69" spans="9:16" x14ac:dyDescent="0.45">
      <c r="I69" t="s">
        <v>75</v>
      </c>
      <c r="J69" s="5">
        <v>12</v>
      </c>
      <c r="K69" s="5">
        <v>12.87908589184042</v>
      </c>
      <c r="L69" s="5">
        <v>12.87908589184042</v>
      </c>
      <c r="M69" s="5">
        <v>12.87908589184042</v>
      </c>
      <c r="N69" s="5">
        <v>12.87908589184042</v>
      </c>
      <c r="O69" s="4">
        <v>7</v>
      </c>
      <c r="P69" s="5">
        <v>1.1078817875744591</v>
      </c>
    </row>
    <row r="70" spans="9:16" x14ac:dyDescent="0.45">
      <c r="I70" t="s">
        <v>76</v>
      </c>
      <c r="J70" s="5">
        <v>13</v>
      </c>
      <c r="K70" s="5">
        <v>13.01059459733913</v>
      </c>
      <c r="L70" s="5">
        <v>13.01059459733913</v>
      </c>
      <c r="M70" s="5">
        <v>13.01059459733913</v>
      </c>
      <c r="N70" s="5">
        <v>13.01059459733913</v>
      </c>
      <c r="O70" s="4">
        <v>6</v>
      </c>
      <c r="P70" s="5">
        <v>1.111419838844123</v>
      </c>
    </row>
    <row r="71" spans="9:16" x14ac:dyDescent="0.45">
      <c r="I71" t="s">
        <v>77</v>
      </c>
      <c r="J71" s="5">
        <v>14</v>
      </c>
      <c r="K71" s="5">
        <v>14.24983204534329</v>
      </c>
      <c r="L71" s="5">
        <v>14.24983204534329</v>
      </c>
      <c r="M71" s="5">
        <v>14.24983204534329</v>
      </c>
      <c r="N71" s="5">
        <v>14.24983204534329</v>
      </c>
      <c r="O71" s="4">
        <v>7</v>
      </c>
      <c r="P71" s="5">
        <v>2.5850575043404032</v>
      </c>
    </row>
    <row r="72" spans="9:16" x14ac:dyDescent="0.45">
      <c r="I72" t="s">
        <v>78</v>
      </c>
      <c r="J72" s="5">
        <v>14</v>
      </c>
      <c r="K72" s="5">
        <v>14.20002238574207</v>
      </c>
      <c r="L72" s="5">
        <v>14.20002238574207</v>
      </c>
      <c r="M72" s="5">
        <v>14.20002238574207</v>
      </c>
      <c r="N72" s="5">
        <v>14.20002238574207</v>
      </c>
      <c r="O72" s="4">
        <v>6</v>
      </c>
      <c r="P72" s="5">
        <v>2.5589896975739461</v>
      </c>
    </row>
    <row r="73" spans="9:16" x14ac:dyDescent="0.45">
      <c r="I73" t="s">
        <v>79</v>
      </c>
      <c r="J73" s="5">
        <v>12</v>
      </c>
      <c r="K73" s="5">
        <v>12.19949229458649</v>
      </c>
      <c r="L73" s="5">
        <v>12.19949229458649</v>
      </c>
      <c r="M73" s="5">
        <v>12.19949229458649</v>
      </c>
      <c r="N73" s="5">
        <v>12.19949229458649</v>
      </c>
      <c r="O73" s="4">
        <v>6</v>
      </c>
      <c r="P73" s="5">
        <v>0.36773309263530912</v>
      </c>
    </row>
    <row r="74" spans="9:16" x14ac:dyDescent="0.45">
      <c r="I74" t="s">
        <v>80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0.36773309263530912</v>
      </c>
    </row>
    <row r="75" spans="9:16" x14ac:dyDescent="0.45">
      <c r="I75" t="s">
        <v>81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</v>
      </c>
    </row>
    <row r="76" spans="9:16" x14ac:dyDescent="0.45">
      <c r="I76" t="s">
        <v>82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</v>
      </c>
    </row>
    <row r="77" spans="9:16" x14ac:dyDescent="0.45">
      <c r="I77" t="s">
        <v>83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2.6526112718754309</v>
      </c>
    </row>
    <row r="78" spans="9:16" x14ac:dyDescent="0.45">
      <c r="I78" t="s">
        <v>84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2.6526112718754309</v>
      </c>
    </row>
    <row r="79" spans="9:16" x14ac:dyDescent="0.45">
      <c r="I79" t="s">
        <v>85</v>
      </c>
      <c r="J79" s="5">
        <v>3</v>
      </c>
      <c r="K79" s="5">
        <v>3.7740944913689649</v>
      </c>
      <c r="L79" s="5">
        <v>3.7740944913689649</v>
      </c>
      <c r="M79" s="5">
        <v>3.7740944913689649</v>
      </c>
      <c r="N79" s="5">
        <v>3.7740944913689649</v>
      </c>
      <c r="O79" s="4">
        <v>2</v>
      </c>
      <c r="P79" s="5">
        <v>0</v>
      </c>
    </row>
    <row r="80" spans="9:16" x14ac:dyDescent="0.45">
      <c r="I80" t="s">
        <v>86</v>
      </c>
      <c r="J80" s="5">
        <v>3</v>
      </c>
      <c r="K80" s="5">
        <v>3.7740944913689649</v>
      </c>
      <c r="L80" s="5">
        <v>3.7740944913689649</v>
      </c>
      <c r="M80" s="5">
        <v>3.7740944913689649</v>
      </c>
      <c r="N80" s="5">
        <v>3.7740944913689649</v>
      </c>
      <c r="O80" s="4">
        <v>2</v>
      </c>
      <c r="P80" s="5">
        <v>0</v>
      </c>
    </row>
    <row r="81" spans="9:16" x14ac:dyDescent="0.45">
      <c r="I81" t="s">
        <v>87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 x14ac:dyDescent="0.45">
      <c r="I82" t="s">
        <v>88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 x14ac:dyDescent="0.45">
      <c r="I83" t="s">
        <v>89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0.37894446741077592</v>
      </c>
    </row>
    <row r="84" spans="9:16" x14ac:dyDescent="0.45">
      <c r="I84" t="s">
        <v>90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0.37894446741077592</v>
      </c>
    </row>
    <row r="85" spans="9:16" x14ac:dyDescent="0.45">
      <c r="I85" t="s">
        <v>91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 x14ac:dyDescent="0.45">
      <c r="I86" t="s">
        <v>92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 x14ac:dyDescent="0.45">
      <c r="I87" t="s">
        <v>93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 x14ac:dyDescent="0.45">
      <c r="I88" t="s">
        <v>94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 x14ac:dyDescent="0.45">
      <c r="I89" t="s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 x14ac:dyDescent="0.45">
      <c r="I90" t="s">
        <v>96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 x14ac:dyDescent="0.45">
      <c r="I91" t="s">
        <v>97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 x14ac:dyDescent="0.45">
      <c r="I92" t="s">
        <v>98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 x14ac:dyDescent="0.45">
      <c r="I93" t="s">
        <v>99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 x14ac:dyDescent="0.45">
      <c r="I94" t="s">
        <v>100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 x14ac:dyDescent="0.45">
      <c r="I95" t="s">
        <v>101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 x14ac:dyDescent="0.45">
      <c r="I96" t="s">
        <v>102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8"/>
  <sheetViews>
    <sheetView workbookViewId="0">
      <selection activeCell="H11" sqref="H11"/>
    </sheetView>
  </sheetViews>
  <sheetFormatPr defaultRowHeight="14.25" x14ac:dyDescent="0.45"/>
  <cols>
    <col min="2" max="2" width="13.265625" bestFit="1" customWidth="1"/>
  </cols>
  <sheetData>
    <row r="1" spans="1:3" x14ac:dyDescent="0.45">
      <c r="A1" t="s">
        <v>326</v>
      </c>
      <c r="B1" t="s">
        <v>327</v>
      </c>
      <c r="C1" t="s">
        <v>328</v>
      </c>
    </row>
    <row r="2" spans="1:3" x14ac:dyDescent="0.45">
      <c r="A2" t="s">
        <v>1</v>
      </c>
      <c r="B2">
        <v>0.25</v>
      </c>
      <c r="C2">
        <v>1</v>
      </c>
    </row>
    <row r="3" spans="1:3" x14ac:dyDescent="0.45">
      <c r="A3" t="s">
        <v>2</v>
      </c>
      <c r="B3">
        <v>0.25</v>
      </c>
      <c r="C3">
        <v>1</v>
      </c>
    </row>
    <row r="4" spans="1:3" x14ac:dyDescent="0.45">
      <c r="A4" t="s">
        <v>3</v>
      </c>
      <c r="B4">
        <v>0.25</v>
      </c>
      <c r="C4">
        <v>1</v>
      </c>
    </row>
    <row r="5" spans="1:3" x14ac:dyDescent="0.45">
      <c r="A5" t="s">
        <v>4</v>
      </c>
      <c r="B5">
        <v>0.25</v>
      </c>
      <c r="C5">
        <v>1</v>
      </c>
    </row>
    <row r="6" spans="1:3" x14ac:dyDescent="0.45">
      <c r="A6" t="s">
        <v>5</v>
      </c>
      <c r="B6">
        <v>0.25</v>
      </c>
      <c r="C6">
        <v>1</v>
      </c>
    </row>
    <row r="7" spans="1:3" x14ac:dyDescent="0.45">
      <c r="A7" t="s">
        <v>6</v>
      </c>
      <c r="B7">
        <v>0.05</v>
      </c>
      <c r="C7">
        <v>1.2</v>
      </c>
    </row>
    <row r="8" spans="1:3" x14ac:dyDescent="0.45">
      <c r="A8" t="s">
        <v>7</v>
      </c>
      <c r="B8">
        <v>0</v>
      </c>
      <c r="C8">
        <v>1.8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Requisiti</vt:lpstr>
      <vt:lpstr>Turni</vt:lpstr>
      <vt:lpstr>Risorse</vt:lpstr>
      <vt:lpstr>storico</vt:lpstr>
      <vt:lpstr>settimana</vt:lpstr>
      <vt:lpstr>Foglio12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Wiliam De salvatore</cp:lastModifiedBy>
  <dcterms:created xsi:type="dcterms:W3CDTF">2015-06-05T18:19:34Z</dcterms:created>
  <dcterms:modified xsi:type="dcterms:W3CDTF">2025-11-02T13:48:24Z</dcterms:modified>
</cp:coreProperties>
</file>